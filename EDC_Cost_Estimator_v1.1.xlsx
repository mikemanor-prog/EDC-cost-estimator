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$#,##0.00;($#,##0.00);&quot;-&quot;"/>
    <numFmt numFmtId="166" formatCode="0.0%"/>
    <numFmt numFmtId="167" formatCode="$#,##0.0000;($#,##0.00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6"/>
    </font>
    <font>
      <name val="Arial"/>
      <color rgb="00008000"/>
      <sz val="10"/>
    </font>
    <font>
      <name val="Arial"/>
      <b val="1"/>
      <color rgb="00008000"/>
      <sz val="14"/>
    </font>
    <font>
      <name val="Arial"/>
      <color rgb="00008000"/>
    </font>
    <font>
      <name val="Arial"/>
      <b val="1"/>
      <color rgb="00008000"/>
    </font>
  </fonts>
  <fills count="6">
    <fill>
      <patternFill/>
    </fill>
    <fill>
      <patternFill patternType="gray125"/>
    </fill>
    <fill>
      <patternFill patternType="solid">
        <fgColor rgb="001F2A3A"/>
      </patternFill>
    </fill>
    <fill>
      <patternFill patternType="solid">
        <fgColor rgb="00DCE3EC"/>
      </patternFill>
    </fill>
    <fill>
      <patternFill patternType="solid">
        <fgColor rgb="00FFFF00"/>
      </patternFill>
    </fill>
    <fill>
      <patternFill patternType="solid">
        <fgColor rgb="00FCE9C8"/>
      </patternFill>
    </fill>
  </fills>
  <borders count="2">
    <border>
      <left/>
      <right/>
      <top/>
      <bottom/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center" wrapText="1"/>
    </xf>
    <xf numFmtId="0" fontId="4" fillId="5" borderId="0" pivotButton="0" quotePrefix="0" xfId="0"/>
    <xf numFmtId="165" fontId="9" fillId="5" borderId="0" pivotButton="0" quotePrefix="0" xfId="0"/>
    <xf numFmtId="0" fontId="5" fillId="0" borderId="1" pivotButton="0" quotePrefix="0" xfId="0"/>
    <xf numFmtId="3" fontId="6" fillId="4" borderId="1" pivotButton="0" quotePrefix="0" xfId="0"/>
    <xf numFmtId="0" fontId="5" fillId="0" borderId="0" pivotButton="0" quotePrefix="0" xfId="0"/>
    <xf numFmtId="3" fontId="8" fillId="0" borderId="0" pivotButton="0" quotePrefix="0" xfId="0"/>
    <xf numFmtId="0" fontId="4" fillId="0" borderId="0" pivotButton="0" quotePrefix="0" xfId="0"/>
    <xf numFmtId="167" fontId="8" fillId="0" borderId="0" pivotButton="0" quotePrefix="0" xfId="0"/>
    <xf numFmtId="0" fontId="6" fillId="4" borderId="1" pivotButton="0" quotePrefix="0" xfId="0"/>
    <xf numFmtId="165" fontId="6" fillId="4" borderId="1" pivotButton="0" quotePrefix="0" xfId="0"/>
    <xf numFmtId="4" fontId="6" fillId="4" borderId="1" pivotButton="0" quotePrefix="0" xfId="0"/>
    <xf numFmtId="49" fontId="10" fillId="0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7" fontId="1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0" fontId="4" fillId="5" borderId="1" pivotButton="0" quotePrefix="0" xfId="0"/>
    <xf numFmtId="167" fontId="11" fillId="5" borderId="1" applyAlignment="1" pivotButton="0" quotePrefix="0" xfId="0">
      <alignment horizontal="right"/>
    </xf>
    <xf numFmtId="0" fontId="1" fillId="0" borderId="0" pivotButton="0" quotePrefix="0" xfId="0"/>
    <xf numFmtId="164" fontId="6" fillId="4" borderId="1" pivotButton="0" quotePrefix="0" xfId="0"/>
    <xf numFmtId="2" fontId="6" fillId="4" borderId="1" pivotButton="0" quotePrefix="0" xfId="0"/>
    <xf numFmtId="166" fontId="6" fillId="4" borderId="1" pivotButton="0" quotePrefix="0" xfId="0"/>
    <xf numFmtId="0" fontId="4" fillId="3" borderId="0" pivotButton="0" quotePrefix="0" xfId="0"/>
    <xf numFmtId="164" fontId="8" fillId="0" borderId="0" pivotButton="0" quotePrefix="0" xfId="0"/>
    <xf numFmtId="3" fontId="5" fillId="0" borderId="0" pivotButton="0" quotePrefix="0" xfId="0"/>
    <xf numFmtId="165" fontId="8" fillId="0" borderId="0" pivotButton="0" quotePrefix="0" xfId="0"/>
    <xf numFmtId="167" fontId="5" fillId="0" borderId="0" pivotButton="0" quotePrefix="0" xfId="0"/>
    <xf numFmtId="167" fontId="4" fillId="5" borderId="0" pivotButton="0" quotePrefix="0" xfId="0"/>
    <xf numFmtId="164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Estimator</author>
  </authors>
  <commentList>
    <comment ref="B16" authorId="0" shapeId="0">
      <text>
        <t>Beside: relays add footprint area. Under: relays stack under the fuses, so footprint = larger of fuse or relay area.</t>
      </text>
    </comment>
    <comment ref="B21" authorId="0" shapeId="0">
      <text>
        <t>Placeholder for Durango, Mexico. Enter your plant's loaded operator rate.</t>
      </text>
    </comment>
    <comment ref="B22" authorId="0" shapeId="0">
      <text>
        <t>0.5 = one operator runs two presses. Placeholder.</t>
      </text>
    </comment>
    <comment ref="A26" authorId="0" shapeId="0">
      <text>
        <t>Blank = rule-of-thumb clamp. Enter the press your plant will actually run (e.g. 250 when the minimum is 110 but that press is not available).</t>
      </text>
    </comment>
    <comment ref="A27" authorId="0" shapeId="0">
      <text>
        <t>Blank = rate from the Assumptions band of the press used. Machine only, no labor.</t>
      </text>
    </comment>
  </commentList>
</comments>
</file>

<file path=xl/comments/comment2.xml><?xml version="1.0" encoding="utf-8"?>
<comments xmlns="http://schemas.openxmlformats.org/spreadsheetml/2006/main">
  <authors>
    <author>Estimator</author>
  </authors>
  <commentList>
    <comment ref="A5" authorId="0" shapeId="0">
      <text>
        <t>L x W is the cavity pitch on the housing, including the rib between cavities. H is cavity depth (fuses) or body height (relays).</t>
      </text>
    </comment>
    <comment ref="B34" authorId="0" shapeId="0">
      <text>
        <t>Runner volume added on top of the part volume. Cold runner guide: large 1-cavity 3-8%, multi-cavity 10-20%, hot runner 0-3%. Placeholder.</t>
      </text>
    </comment>
    <comment ref="B35" authorId="0" shapeId="0">
      <text>
        <t>Runner projected area added to the part projected area for the clamp rule of thumb. Placeholder.</t>
      </text>
    </comment>
    <comment ref="C42" authorId="0" shapeId="0">
      <text>
        <t>North American placeholders. Replace with Durango machine rates (machine only; labor is entered separately).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EDC Plastic Cost Estimator v1.1</t>
        </is>
      </c>
    </row>
    <row r="2">
      <c r="A2" s="2" t="inlineStr">
        <is>
          <t>Enter fuse and relay counts. Get housing + cover size, weight and per-part cost.</t>
        </is>
      </c>
    </row>
    <row r="3">
      <c r="A3" s="2" t="inlineStr">
        <is>
          <t>Legend: yellow cells with blue text are inputs; everything else is calculated. Material and molding assumptions live on the Assumptions tab.</t>
        </is>
      </c>
    </row>
    <row r="5">
      <c r="A5" s="3" t="inlineStr">
        <is>
          <t>Inputs</t>
        </is>
      </c>
      <c r="B5" s="4" t="n"/>
      <c r="D5" s="3" t="inlineStr">
        <is>
          <t>Results</t>
        </is>
      </c>
      <c r="E5" s="4" t="n"/>
      <c r="F5" s="4" t="n"/>
      <c r="G5" s="4" t="n"/>
    </row>
    <row r="6">
      <c r="A6" s="5" t="inlineStr">
        <is>
          <t>Fuses</t>
        </is>
      </c>
      <c r="B6" s="6" t="inlineStr">
        <is>
          <t>Count</t>
        </is>
      </c>
      <c r="D6" s="7" t="inlineStr">
        <is>
          <t>Plastic cost per EDC set</t>
        </is>
      </c>
      <c r="E6" s="8">
        <f>Calc!B79</f>
        <v/>
      </c>
    </row>
    <row r="7">
      <c r="A7" s="9" t="inlineStr">
        <is>
          <t>Micro2</t>
        </is>
      </c>
      <c r="B7" s="10" t="n">
        <v>20</v>
      </c>
      <c r="D7" s="11" t="inlineStr">
        <is>
          <t>Total plastic (g)</t>
        </is>
      </c>
      <c r="E7" s="12">
        <f>Calc!B80</f>
        <v/>
      </c>
    </row>
    <row r="8">
      <c r="A8" s="9" t="inlineStr">
        <is>
          <t>Micro3</t>
        </is>
      </c>
      <c r="B8" s="10" t="n">
        <v>10</v>
      </c>
      <c r="D8" s="11" t="inlineStr">
        <is>
          <t>Outer footprint L (mm)</t>
        </is>
      </c>
      <c r="E8" s="12">
        <f>Calc!B27</f>
        <v/>
      </c>
    </row>
    <row r="9">
      <c r="A9" s="9" t="inlineStr">
        <is>
          <t>M-Case</t>
        </is>
      </c>
      <c r="B9" s="10" t="n">
        <v>6</v>
      </c>
      <c r="D9" s="11" t="inlineStr">
        <is>
          <t>Outer footprint W (mm)</t>
        </is>
      </c>
      <c r="E9" s="12">
        <f>Calc!B28</f>
        <v/>
      </c>
    </row>
    <row r="10">
      <c r="A10" s="9" t="inlineStr">
        <is>
          <t>A1S (placeholder size)</t>
        </is>
      </c>
      <c r="B10" s="10" t="n">
        <v>2</v>
      </c>
      <c r="D10" s="11" t="inlineStr">
        <is>
          <t>Stack height (mm)</t>
        </is>
      </c>
      <c r="E10" s="12">
        <f>Calc!B81</f>
        <v/>
      </c>
    </row>
    <row r="11">
      <c r="A11" s="5" t="inlineStr">
        <is>
          <t>PCB relays</t>
        </is>
      </c>
      <c r="B11" s="6" t="inlineStr">
        <is>
          <t>Count</t>
        </is>
      </c>
    </row>
    <row r="12">
      <c r="A12" s="9" t="inlineStr">
        <is>
          <t>Micro PCB relay (up to 35 A)</t>
        </is>
      </c>
      <c r="B12" s="10" t="n">
        <v>8</v>
      </c>
      <c r="D12" s="13" t="inlineStr">
        <is>
          <t>Marginal cost</t>
        </is>
      </c>
    </row>
    <row r="13">
      <c r="A13" s="9" t="inlineStr">
        <is>
          <t>Mini PCB relay (35-70 A)</t>
        </is>
      </c>
      <c r="B13" s="10" t="n">
        <v>4</v>
      </c>
      <c r="D13" s="11" t="inlineStr">
        <is>
          <t>Each extra Micro2 adds</t>
        </is>
      </c>
      <c r="E13" s="14">
        <f>Calc!C79-Calc!B79</f>
        <v/>
      </c>
    </row>
    <row r="14">
      <c r="A14" s="9" t="inlineStr">
        <is>
          <t>High-current PCB relay (70 A+)</t>
        </is>
      </c>
      <c r="B14" s="10" t="n">
        <v>0</v>
      </c>
      <c r="D14" s="11" t="inlineStr">
        <is>
          <t>Each extra Micro3 adds</t>
        </is>
      </c>
      <c r="E14" s="14">
        <f>Calc!D79-Calc!B79</f>
        <v/>
      </c>
    </row>
    <row r="15">
      <c r="A15" s="5" t="inlineStr">
        <is>
          <t>Options</t>
        </is>
      </c>
      <c r="B15" s="6" t="inlineStr">
        <is>
          <t>Value</t>
        </is>
      </c>
      <c r="D15" s="11" t="inlineStr">
        <is>
          <t>Each extra Micro PCB relay adds</t>
        </is>
      </c>
      <c r="E15" s="14">
        <f>Calc!E79-Calc!B79</f>
        <v/>
      </c>
    </row>
    <row r="16">
      <c r="A16" s="9" t="inlineStr">
        <is>
          <t>Relay layout (relative to fuses)</t>
        </is>
      </c>
      <c r="B16" s="15" t="inlineStr">
        <is>
          <t>Beside</t>
        </is>
      </c>
    </row>
    <row r="17">
      <c r="A17" s="9" t="inlineStr">
        <is>
          <t>Cavities per mold</t>
        </is>
      </c>
      <c r="B17" s="10" t="n">
        <v>2</v>
      </c>
    </row>
    <row r="18">
      <c r="A18" s="9" t="inlineStr">
        <is>
          <t>Main housing resin</t>
        </is>
      </c>
      <c r="B18" s="15" t="inlineStr">
        <is>
          <t>PA66-GF30</t>
        </is>
      </c>
    </row>
    <row r="19">
      <c r="A19" s="9" t="inlineStr">
        <is>
          <t>Upper cover resin</t>
        </is>
      </c>
      <c r="B19" s="15" t="inlineStr">
        <is>
          <t>PA66-GF30</t>
        </is>
      </c>
    </row>
    <row r="20">
      <c r="A20" s="9" t="inlineStr">
        <is>
          <t>Lower cover resin</t>
        </is>
      </c>
      <c r="B20" s="15" t="inlineStr">
        <is>
          <t>PA66-GF30</t>
        </is>
      </c>
    </row>
    <row r="21">
      <c r="A21" s="9" t="inlineStr">
        <is>
          <t>Labor rate ($/hr, loaded)</t>
        </is>
      </c>
      <c r="B21" s="16" t="n">
        <v>6</v>
      </c>
    </row>
    <row r="22">
      <c r="A22" s="9" t="inlineStr">
        <is>
          <t>Operators per press</t>
        </is>
      </c>
      <c r="B22" s="17" t="n">
        <v>0.5</v>
      </c>
    </row>
    <row r="24">
      <c r="A24" s="3" t="inlineStr">
        <is>
          <t>Press and machine rate (leave blank to use the rule of thumb)</t>
        </is>
      </c>
      <c r="B24" s="4" t="n"/>
      <c r="C24" s="4" t="n"/>
      <c r="D24" s="4" t="n"/>
    </row>
    <row r="25">
      <c r="A25" s="5" t="inlineStr"/>
      <c r="B25" s="6" t="inlineStr">
        <is>
          <t>Main housing</t>
        </is>
      </c>
      <c r="C25" s="6" t="inlineStr">
        <is>
          <t>Upper cover</t>
        </is>
      </c>
      <c r="D25" s="6" t="inlineStr">
        <is>
          <t>Lower cover</t>
        </is>
      </c>
    </row>
    <row r="26">
      <c r="A26" s="9" t="inlineStr">
        <is>
          <t>Press used (US t)</t>
        </is>
      </c>
      <c r="B26" s="10" t="n"/>
      <c r="C26" s="10" t="n"/>
      <c r="D26" s="10" t="n"/>
    </row>
    <row r="27">
      <c r="A27" s="9" t="inlineStr">
        <is>
          <t>Machine rate ($/hr)</t>
        </is>
      </c>
      <c r="B27" s="16" t="n"/>
      <c r="C27" s="16" t="n"/>
      <c r="D27" s="16" t="n"/>
    </row>
    <row r="29">
      <c r="A29" s="3" t="inlineStr">
        <is>
          <t>Per-part breakdown</t>
        </is>
      </c>
      <c r="B29" s="4" t="n"/>
      <c r="C29" s="4" t="n"/>
      <c r="D29" s="4" t="n"/>
      <c r="E29" s="4" t="n"/>
      <c r="F29" s="4" t="n"/>
      <c r="G29" s="4" t="n"/>
    </row>
    <row r="30">
      <c r="A30" s="5" t="inlineStr"/>
      <c r="B30" s="6" t="inlineStr">
        <is>
          <t>Main housing</t>
        </is>
      </c>
      <c r="C30" s="6" t="inlineStr">
        <is>
          <t>Upper cover</t>
        </is>
      </c>
      <c r="D30" s="6" t="inlineStr">
        <is>
          <t>Lower cover</t>
        </is>
      </c>
    </row>
    <row r="31">
      <c r="A31" s="9" t="inlineStr">
        <is>
          <t>Resin</t>
        </is>
      </c>
      <c r="B31" s="18">
        <f>Estimator!$B$18</f>
        <v/>
      </c>
      <c r="C31" s="18">
        <f>Estimator!$B$19</f>
        <v/>
      </c>
      <c r="D31" s="18">
        <f>Estimator!$B$20</f>
        <v/>
      </c>
    </row>
    <row r="32">
      <c r="A32" s="9" t="inlineStr">
        <is>
          <t>L (mm)</t>
        </is>
      </c>
      <c r="B32" s="19">
        <f>Calc!B23</f>
        <v/>
      </c>
      <c r="C32" s="19">
        <f>Calc!B27</f>
        <v/>
      </c>
      <c r="D32" s="19">
        <f>Calc!B27</f>
        <v/>
      </c>
    </row>
    <row r="33">
      <c r="A33" s="9" t="inlineStr">
        <is>
          <t>W (mm)</t>
        </is>
      </c>
      <c r="B33" s="19">
        <f>Calc!B24</f>
        <v/>
      </c>
      <c r="C33" s="19">
        <f>Calc!B28</f>
        <v/>
      </c>
      <c r="D33" s="19">
        <f>Calc!B28</f>
        <v/>
      </c>
    </row>
    <row r="34">
      <c r="A34" s="9" t="inlineStr">
        <is>
          <t>H (mm)</t>
        </is>
      </c>
      <c r="B34" s="19">
        <f>Calc!B25</f>
        <v/>
      </c>
      <c r="C34" s="19">
        <f>Calc!B29</f>
        <v/>
      </c>
      <c r="D34" s="19">
        <f>Calc!B30</f>
        <v/>
      </c>
    </row>
    <row r="35">
      <c r="A35" s="9" t="inlineStr">
        <is>
          <t>Volume (cm³)</t>
        </is>
      </c>
      <c r="B35" s="20">
        <f>Calc!B26/1000</f>
        <v/>
      </c>
      <c r="C35" s="20">
        <f>Calc!B31/1000</f>
        <v/>
      </c>
      <c r="D35" s="20">
        <f>Calc!B32/1000</f>
        <v/>
      </c>
    </row>
    <row r="36">
      <c r="A36" s="9" t="inlineStr">
        <is>
          <t>Mass (g)</t>
        </is>
      </c>
      <c r="B36" s="19">
        <f>Calc!B34</f>
        <v/>
      </c>
      <c r="C36" s="19">
        <f>Calc!B49</f>
        <v/>
      </c>
      <c r="D36" s="19">
        <f>Calc!B64</f>
        <v/>
      </c>
    </row>
    <row r="37">
      <c r="A37" s="9" t="inlineStr">
        <is>
          <t>Shot weight incl. runner (g)</t>
        </is>
      </c>
      <c r="B37" s="19">
        <f>Calc!B37</f>
        <v/>
      </c>
      <c r="C37" s="19">
        <f>Calc!B52</f>
        <v/>
      </c>
      <c r="D37" s="19">
        <f>Calc!B67</f>
        <v/>
      </c>
    </row>
    <row r="38">
      <c r="A38" s="9" t="inlineStr">
        <is>
          <t>Material incl. runner</t>
        </is>
      </c>
      <c r="B38" s="21">
        <f>Calc!B35</f>
        <v/>
      </c>
      <c r="C38" s="21">
        <f>Calc!B50</f>
        <v/>
      </c>
      <c r="D38" s="21">
        <f>Calc!B65</f>
        <v/>
      </c>
    </row>
    <row r="39">
      <c r="A39" s="9" t="inlineStr">
        <is>
          <t>Projected area incl. runner (in²)</t>
        </is>
      </c>
      <c r="B39" s="20">
        <f>Calc!B38</f>
        <v/>
      </c>
      <c r="C39" s="20">
        <f>Calc!B53</f>
        <v/>
      </c>
      <c r="D39" s="20">
        <f>Calc!B68</f>
        <v/>
      </c>
    </row>
    <row r="40">
      <c r="A40" s="9" t="inlineStr">
        <is>
          <t>Rule-of-thumb clamp (US t)</t>
        </is>
      </c>
      <c r="B40" s="19">
        <f>Calc!B39</f>
        <v/>
      </c>
      <c r="C40" s="19">
        <f>Calc!B54</f>
        <v/>
      </c>
      <c r="D40" s="19">
        <f>Calc!B69</f>
        <v/>
      </c>
    </row>
    <row r="41">
      <c r="A41" s="9" t="inlineStr">
        <is>
          <t>Rule-of-thumb clamp (metric t)</t>
        </is>
      </c>
      <c r="B41" s="19">
        <f>Calc!B40</f>
        <v/>
      </c>
      <c r="C41" s="19">
        <f>Calc!B55</f>
        <v/>
      </c>
      <c r="D41" s="19">
        <f>Calc!B70</f>
        <v/>
      </c>
    </row>
    <row r="42">
      <c r="A42" s="9" t="inlineStr">
        <is>
          <t>Press used (US t)</t>
        </is>
      </c>
      <c r="B42" s="19">
        <f>Calc!B41</f>
        <v/>
      </c>
      <c r="C42" s="19">
        <f>Calc!B56</f>
        <v/>
      </c>
      <c r="D42" s="19">
        <f>Calc!B71</f>
        <v/>
      </c>
    </row>
    <row r="43">
      <c r="A43" s="9" t="inlineStr">
        <is>
          <t>Machine + labor ($/hr)</t>
        </is>
      </c>
      <c r="B43" s="22">
        <f>Calc!B44+Calc!B45</f>
        <v/>
      </c>
      <c r="C43" s="22">
        <f>Calc!B59+Calc!B60</f>
        <v/>
      </c>
      <c r="D43" s="22">
        <f>Calc!B74+Calc!B75</f>
        <v/>
      </c>
    </row>
    <row r="44">
      <c r="A44" s="9" t="inlineStr">
        <is>
          <t>Cycle time (s)</t>
        </is>
      </c>
      <c r="B44" s="19">
        <f>Calc!B42</f>
        <v/>
      </c>
      <c r="C44" s="19">
        <f>Calc!B57</f>
        <v/>
      </c>
      <c r="D44" s="19">
        <f>Calc!B72</f>
        <v/>
      </c>
    </row>
    <row r="45">
      <c r="A45" s="9" t="inlineStr">
        <is>
          <t>Molding</t>
        </is>
      </c>
      <c r="B45" s="21">
        <f>Calc!B46</f>
        <v/>
      </c>
      <c r="C45" s="21">
        <f>Calc!B61</f>
        <v/>
      </c>
      <c r="D45" s="21">
        <f>Calc!B76</f>
        <v/>
      </c>
    </row>
    <row r="46">
      <c r="A46" s="23" t="inlineStr">
        <is>
          <t>Part cost</t>
        </is>
      </c>
      <c r="B46" s="24">
        <f>Calc!B47</f>
        <v/>
      </c>
      <c r="C46" s="24">
        <f>Calc!B62</f>
        <v/>
      </c>
      <c r="D46" s="24">
        <f>Calc!B77</f>
        <v/>
      </c>
    </row>
    <row r="48">
      <c r="A48" s="2" t="inlineStr">
        <is>
          <t>Not ported from the web page: the to-scale plan view and its cavity-fit warning.</t>
        </is>
      </c>
    </row>
  </sheetData>
  <dataValidations count="5">
    <dataValidation sqref="B16" showDropDown="0" showInputMessage="0" showErrorMessage="0" allowBlank="0" type="list">
      <formula1>"Beside,Under"</formula1>
    </dataValidation>
    <dataValidation sqref="B17" showDropDown="0" showInputMessage="0" showErrorMessage="0" allowBlank="0" type="list">
      <formula1>"1,2,4,8"</formula1>
    </dataValidation>
    <dataValidation sqref="B18 B19 B20" showDropDown="0" showInputMessage="0" showErrorMessage="0" allowBlank="0" type="list">
      <formula1>=Assumptions!$A$29:$A$31</formula1>
    </dataValidation>
    <dataValidation sqref="B7:B14" showDropDown="0" showInputMessage="0" showErrorMessage="1" allowBlank="0" error="Enter a whole number of 0 or more." type="whole" operator="greaterThanOrEqual">
      <formula1>0</formula1>
    </dataValidation>
    <dataValidation sqref="B26 B27 C26 C27 D26 D27" showDropDown="0" showInputMessage="0" showErrorMessage="1" allowBlank="1" error="Enter a number of 0 or more, or leave blank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</cols>
  <sheetData>
    <row r="1">
      <c r="A1" s="25" t="inlineStr">
        <is>
          <t>Assumptions (edit the yellow cells to match your parts)</t>
        </is>
      </c>
    </row>
    <row r="2">
      <c r="A2" s="2" t="inlineStr">
        <is>
          <t>Values are the defaults from the web estimator. Blue text on yellow = input. A1S footprint is a placeholder until real numbers are available.</t>
        </is>
      </c>
    </row>
    <row r="4">
      <c r="A4" s="3" t="inlineStr">
        <is>
          <t>Component footprints</t>
        </is>
      </c>
      <c r="B4" s="4" t="n"/>
      <c r="C4" s="4" t="n"/>
      <c r="D4" s="4" t="n"/>
    </row>
    <row r="5">
      <c r="A5" s="5" t="inlineStr">
        <is>
          <t>Part</t>
        </is>
      </c>
      <c r="B5" s="6" t="inlineStr">
        <is>
          <t>L (mm)</t>
        </is>
      </c>
      <c r="C5" s="6" t="inlineStr">
        <is>
          <t>W (mm)</t>
        </is>
      </c>
      <c r="D5" s="6" t="inlineStr">
        <is>
          <t>H (mm)</t>
        </is>
      </c>
    </row>
    <row r="6">
      <c r="A6" s="9" t="inlineStr">
        <is>
          <t>Micro2</t>
        </is>
      </c>
      <c r="B6" s="26" t="n">
        <v>11.5</v>
      </c>
      <c r="C6" s="26" t="n">
        <v>6</v>
      </c>
      <c r="D6" s="26" t="n">
        <v>16</v>
      </c>
    </row>
    <row r="7">
      <c r="A7" s="9" t="inlineStr">
        <is>
          <t>Micro3</t>
        </is>
      </c>
      <c r="B7" s="26" t="n">
        <v>17</v>
      </c>
      <c r="C7" s="26" t="n">
        <v>6.5</v>
      </c>
      <c r="D7" s="26" t="n">
        <v>15</v>
      </c>
    </row>
    <row r="8">
      <c r="A8" s="9" t="inlineStr">
        <is>
          <t>M-Case</t>
        </is>
      </c>
      <c r="B8" s="26" t="n">
        <v>15</v>
      </c>
      <c r="C8" s="26" t="n">
        <v>10</v>
      </c>
      <c r="D8" s="26" t="n">
        <v>14</v>
      </c>
    </row>
    <row r="9">
      <c r="A9" s="9" t="inlineStr">
        <is>
          <t>A1S (placeholder size)</t>
        </is>
      </c>
      <c r="B9" s="26" t="n">
        <v>20</v>
      </c>
      <c r="C9" s="26" t="n">
        <v>12</v>
      </c>
      <c r="D9" s="26" t="n">
        <v>18</v>
      </c>
    </row>
    <row r="10">
      <c r="A10" s="9" t="inlineStr">
        <is>
          <t>Micro PCB relay (up to 35 A)</t>
        </is>
      </c>
      <c r="B10" s="26" t="n">
        <v>16</v>
      </c>
      <c r="C10" s="26" t="n">
        <v>14</v>
      </c>
      <c r="D10" s="26" t="n">
        <v>15</v>
      </c>
    </row>
    <row r="11">
      <c r="A11" s="9" t="inlineStr">
        <is>
          <t>Mini PCB relay (35-70 A)</t>
        </is>
      </c>
      <c r="B11" s="26" t="n">
        <v>24</v>
      </c>
      <c r="C11" s="26" t="n">
        <v>18</v>
      </c>
      <c r="D11" s="26" t="n">
        <v>22</v>
      </c>
    </row>
    <row r="12">
      <c r="A12" s="9" t="inlineStr">
        <is>
          <t>High-current PCB relay (70 A+)</t>
        </is>
      </c>
      <c r="B12" s="26" t="n">
        <v>32</v>
      </c>
      <c r="C12" s="26" t="n">
        <v>24</v>
      </c>
      <c r="D12" s="26" t="n">
        <v>28</v>
      </c>
    </row>
    <row r="14">
      <c r="A14" s="3" t="inlineStr">
        <is>
          <t>Housing geometry</t>
        </is>
      </c>
      <c r="B14" s="4" t="n"/>
      <c r="C14" s="4" t="n"/>
      <c r="D14" s="4" t="n"/>
    </row>
    <row r="15">
      <c r="A15" s="9" t="inlineStr">
        <is>
          <t>Packing efficiency (0-1)</t>
        </is>
      </c>
      <c r="B15" s="27" t="n">
        <v>0.65</v>
      </c>
    </row>
    <row r="16">
      <c r="A16" s="9" t="inlineStr">
        <is>
          <t>Connector / stud area (mm²)</t>
        </is>
      </c>
      <c r="B16" s="10" t="n">
        <v>2500</v>
      </c>
    </row>
    <row r="17">
      <c r="A17" s="9" t="inlineStr">
        <is>
          <t>Edge margin (mm)</t>
        </is>
      </c>
      <c r="B17" s="26" t="n">
        <v>6</v>
      </c>
    </row>
    <row r="18">
      <c r="A18" s="9" t="inlineStr">
        <is>
          <t>Aspect ratio L:W</t>
        </is>
      </c>
      <c r="B18" s="17" t="n">
        <v>1.5</v>
      </c>
    </row>
    <row r="19">
      <c r="A19" s="9" t="inlineStr">
        <is>
          <t>Housing wall (mm)</t>
        </is>
      </c>
      <c r="B19" s="26" t="n">
        <v>2.5</v>
      </c>
    </row>
    <row r="20">
      <c r="A20" s="9" t="inlineStr">
        <is>
          <t>Cavity rib (mm)</t>
        </is>
      </c>
      <c r="B20" s="26" t="n">
        <v>1.2</v>
      </c>
    </row>
    <row r="21">
      <c r="A21" s="9" t="inlineStr">
        <is>
          <t>PCB + busbar stack (mm)</t>
        </is>
      </c>
      <c r="B21" s="26" t="n">
        <v>10</v>
      </c>
    </row>
    <row r="22">
      <c r="A22" s="9" t="inlineStr">
        <is>
          <t>Cover wall (mm)</t>
        </is>
      </c>
      <c r="B22" s="26" t="n">
        <v>2</v>
      </c>
    </row>
    <row r="23">
      <c r="A23" s="9" t="inlineStr">
        <is>
          <t>Fuse head above housing (mm)</t>
        </is>
      </c>
      <c r="B23" s="26" t="n">
        <v>8</v>
      </c>
    </row>
    <row r="24">
      <c r="A24" s="9" t="inlineStr">
        <is>
          <t>Cover clearance (mm)</t>
        </is>
      </c>
      <c r="B24" s="26" t="n">
        <v>6</v>
      </c>
    </row>
    <row r="25">
      <c r="A25" s="9" t="inlineStr">
        <is>
          <t>Min lower cover height (mm)</t>
        </is>
      </c>
      <c r="B25" s="26" t="n">
        <v>15</v>
      </c>
    </row>
    <row r="27">
      <c r="A27" s="3" t="inlineStr">
        <is>
          <t>Resins</t>
        </is>
      </c>
      <c r="B27" s="4" t="n"/>
      <c r="C27" s="4" t="n"/>
      <c r="D27" s="4" t="n"/>
    </row>
    <row r="28">
      <c r="A28" s="5" t="inlineStr">
        <is>
          <t>Resin</t>
        </is>
      </c>
      <c r="B28" s="6" t="inlineStr">
        <is>
          <t>Density (g/cm³)</t>
        </is>
      </c>
      <c r="C28" s="6" t="inlineStr">
        <is>
          <t>Price ($/kg)</t>
        </is>
      </c>
    </row>
    <row r="29">
      <c r="A29" s="9" t="inlineStr">
        <is>
          <t>PA66-GF30</t>
        </is>
      </c>
      <c r="B29" s="17" t="n">
        <v>1.36</v>
      </c>
      <c r="C29" s="16" t="n">
        <v>3.8</v>
      </c>
    </row>
    <row r="30">
      <c r="A30" s="9" t="inlineStr">
        <is>
          <t>PBT-GF30</t>
        </is>
      </c>
      <c r="B30" s="17" t="n">
        <v>1.53</v>
      </c>
      <c r="C30" s="16" t="n">
        <v>3.2</v>
      </c>
    </row>
    <row r="31">
      <c r="A31" s="9" t="inlineStr">
        <is>
          <t>PP-T20</t>
        </is>
      </c>
      <c r="B31" s="17" t="n">
        <v>1.05</v>
      </c>
      <c r="C31" s="16" t="n">
        <v>1.8</v>
      </c>
    </row>
    <row r="33">
      <c r="A33" s="3" t="inlineStr">
        <is>
          <t>Molding</t>
        </is>
      </c>
      <c r="B33" s="4" t="n"/>
      <c r="C33" s="4" t="n"/>
      <c r="D33" s="4" t="n"/>
    </row>
    <row r="34">
      <c r="A34" s="9" t="inlineStr">
        <is>
          <t>Runner volume (% of part volume)</t>
        </is>
      </c>
      <c r="B34" s="28" t="n">
        <v>0.08</v>
      </c>
    </row>
    <row r="35">
      <c r="A35" s="9" t="inlineStr">
        <is>
          <t>Runner projected area (% of part area)</t>
        </is>
      </c>
      <c r="B35" s="28" t="n">
        <v>0.1</v>
      </c>
    </row>
    <row r="36">
      <c r="A36" s="9" t="inlineStr">
        <is>
          <t>Cycle base (s)</t>
        </is>
      </c>
      <c r="B36" s="26" t="n">
        <v>12</v>
      </c>
    </row>
    <row r="37">
      <c r="A37" s="9" t="inlineStr">
        <is>
          <t>Cooling k (s/mm²)</t>
        </is>
      </c>
      <c r="B37" s="26" t="n">
        <v>2</v>
      </c>
    </row>
    <row r="38">
      <c r="A38" s="9" t="inlineStr">
        <is>
          <t>Clamp (US tons/in²)</t>
        </is>
      </c>
      <c r="B38" s="26" t="n">
        <v>3.5</v>
      </c>
    </row>
    <row r="40">
      <c r="A40" s="3" t="inlineStr">
        <is>
          <t>Machine rate bands (machine only, labor is on the Estimator)</t>
        </is>
      </c>
      <c r="B40" s="4" t="n"/>
      <c r="C40" s="4" t="n"/>
      <c r="D40" s="4" t="n"/>
    </row>
    <row r="41">
      <c r="A41" s="5" t="inlineStr">
        <is>
          <t>Band</t>
        </is>
      </c>
      <c r="B41" s="6" t="inlineStr">
        <is>
          <t>Press below (US t)</t>
        </is>
      </c>
      <c r="C41" s="6" t="inlineStr">
        <is>
          <t>Machine $/hr</t>
        </is>
      </c>
    </row>
    <row r="42">
      <c r="A42" s="9" t="inlineStr">
        <is>
          <t>Band 1</t>
        </is>
      </c>
      <c r="B42" s="10" t="n">
        <v>300</v>
      </c>
      <c r="C42" s="16" t="n">
        <v>45</v>
      </c>
    </row>
    <row r="43">
      <c r="A43" s="9" t="inlineStr">
        <is>
          <t>Band 2</t>
        </is>
      </c>
      <c r="B43" s="10" t="n">
        <v>500</v>
      </c>
      <c r="C43" s="16" t="n">
        <v>60</v>
      </c>
    </row>
    <row r="44">
      <c r="A44" s="9" t="inlineStr">
        <is>
          <t>Band 3</t>
        </is>
      </c>
      <c r="B44" s="10" t="n">
        <v>800</v>
      </c>
      <c r="C44" s="16" t="n">
        <v>80</v>
      </c>
    </row>
    <row r="45">
      <c r="A45" s="9" t="inlineStr">
        <is>
          <t>Band 4</t>
        </is>
      </c>
      <c r="B45" s="9" t="inlineStr">
        <is>
          <t>Above</t>
        </is>
      </c>
      <c r="C45" s="16" t="n">
        <v>110</v>
      </c>
    </row>
    <row r="47">
      <c r="A47" s="2" t="inlineStr">
        <is>
          <t>Cycle time = base + k × wall².</t>
        </is>
      </c>
    </row>
    <row r="48">
      <c r="A48" s="2" t="inlineStr">
        <is>
          <t>Rule-of-thumb clamp (US t) = projected area (in²) × cavities × (1 + runner area %) × tons/in².</t>
        </is>
      </c>
    </row>
    <row r="49">
      <c r="A49" s="2" t="inlineStr">
        <is>
          <t>Same as the metric form: tonnes = area (cm²) × cavity pressure (kgf/cm²) ÷ 1000 × cavities. 1 US t/in² = 140.6 kgf/cm².</t>
        </is>
      </c>
    </row>
    <row r="50">
      <c r="A50" s="2" t="inlineStr">
        <is>
          <t>Press used = your press tons on the Estimator if entered, else the rule of thumb. Machine rate comes from the band of the press used unless overridden.</t>
        </is>
      </c>
    </row>
    <row r="51">
      <c r="A51" s="2" t="inlineStr">
        <is>
          <t>Molding cost per part = (machine rate + labor rate × operators) × cycle ÷ cavities.</t>
        </is>
      </c>
    </row>
    <row r="52">
      <c r="A52" s="2" t="inlineStr">
        <is>
          <t>Material = part mass × (1 + runner volume %) × $/kg. Shot = (part × cavities) + runner.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5" t="inlineStr">
        <is>
          <t>Calculation engine (no inputs here)</t>
        </is>
      </c>
    </row>
    <row r="2">
      <c r="A2" s="2" t="inlineStr">
        <is>
          <t>Column B is the estimate. C-E add one part each so the Estimator can show marginal cost.</t>
        </is>
      </c>
    </row>
    <row r="3">
      <c r="A3" s="5" t="inlineStr">
        <is>
          <t>Line item</t>
        </is>
      </c>
      <c r="B3" s="6" t="inlineStr">
        <is>
          <t>Base</t>
        </is>
      </c>
      <c r="C3" s="6" t="inlineStr">
        <is>
          <t>+1 Micro2</t>
        </is>
      </c>
      <c r="D3" s="6" t="inlineStr">
        <is>
          <t>+1 Micro3</t>
        </is>
      </c>
      <c r="E3" s="6" t="inlineStr">
        <is>
          <t>+1 Micro PCB relay</t>
        </is>
      </c>
    </row>
    <row r="4">
      <c r="A4" s="29" t="inlineStr">
        <is>
          <t>Counts</t>
        </is>
      </c>
    </row>
    <row r="5">
      <c r="A5" s="11" t="inlineStr">
        <is>
          <t>Micro2 count</t>
        </is>
      </c>
      <c r="B5" s="12">
        <f>Estimator!$B$7+0</f>
        <v/>
      </c>
      <c r="C5" s="12">
        <f>Estimator!$B$7+1</f>
        <v/>
      </c>
      <c r="D5" s="12">
        <f>Estimator!$B$7+0</f>
        <v/>
      </c>
      <c r="E5" s="12">
        <f>Estimator!$B$7+0</f>
        <v/>
      </c>
    </row>
    <row r="6">
      <c r="A6" s="11" t="inlineStr">
        <is>
          <t>Micro3 count</t>
        </is>
      </c>
      <c r="B6" s="12">
        <f>Estimator!$B$8+0</f>
        <v/>
      </c>
      <c r="C6" s="12">
        <f>Estimator!$B$8+0</f>
        <v/>
      </c>
      <c r="D6" s="12">
        <f>Estimator!$B$8+1</f>
        <v/>
      </c>
      <c r="E6" s="12">
        <f>Estimator!$B$8+0</f>
        <v/>
      </c>
    </row>
    <row r="7">
      <c r="A7" s="11" t="inlineStr">
        <is>
          <t>M-Case count</t>
        </is>
      </c>
      <c r="B7" s="12">
        <f>Estimator!$B$9+0</f>
        <v/>
      </c>
      <c r="C7" s="12">
        <f>Estimator!$B$9+0</f>
        <v/>
      </c>
      <c r="D7" s="12">
        <f>Estimator!$B$9+0</f>
        <v/>
      </c>
      <c r="E7" s="12">
        <f>Estimator!$B$9+0</f>
        <v/>
      </c>
    </row>
    <row r="8">
      <c r="A8" s="11" t="inlineStr">
        <is>
          <t>A1S (placeholder size) count</t>
        </is>
      </c>
      <c r="B8" s="12">
        <f>Estimator!$B$10+0</f>
        <v/>
      </c>
      <c r="C8" s="12">
        <f>Estimator!$B$10+0</f>
        <v/>
      </c>
      <c r="D8" s="12">
        <f>Estimator!$B$10+0</f>
        <v/>
      </c>
      <c r="E8" s="12">
        <f>Estimator!$B$10+0</f>
        <v/>
      </c>
    </row>
    <row r="9">
      <c r="A9" s="11" t="inlineStr">
        <is>
          <t>Micro PCB relay (up to 35 A) count</t>
        </is>
      </c>
      <c r="B9" s="12">
        <f>Estimator!$B$12+0</f>
        <v/>
      </c>
      <c r="C9" s="12">
        <f>Estimator!$B$12+0</f>
        <v/>
      </c>
      <c r="D9" s="12">
        <f>Estimator!$B$12+0</f>
        <v/>
      </c>
      <c r="E9" s="12">
        <f>Estimator!$B$12+1</f>
        <v/>
      </c>
    </row>
    <row r="10">
      <c r="A10" s="11" t="inlineStr">
        <is>
          <t>Mini PCB relay (35-70 A) count</t>
        </is>
      </c>
      <c r="B10" s="12">
        <f>Estimator!$B$13+0</f>
        <v/>
      </c>
      <c r="C10" s="12">
        <f>Estimator!$B$13+0</f>
        <v/>
      </c>
      <c r="D10" s="12">
        <f>Estimator!$B$13+0</f>
        <v/>
      </c>
      <c r="E10" s="12">
        <f>Estimator!$B$13+0</f>
        <v/>
      </c>
    </row>
    <row r="11">
      <c r="A11" s="11" t="inlineStr">
        <is>
          <t>High-current PCB relay (70 A+) count</t>
        </is>
      </c>
      <c r="B11" s="12">
        <f>Estimator!$B$14+0</f>
        <v/>
      </c>
      <c r="C11" s="12">
        <f>Estimator!$B$14+0</f>
        <v/>
      </c>
      <c r="D11" s="12">
        <f>Estimator!$B$14+0</f>
        <v/>
      </c>
      <c r="E11" s="12">
        <f>Estimator!$B$14+0</f>
        <v/>
      </c>
    </row>
    <row r="12">
      <c r="A12" s="29" t="inlineStr">
        <is>
          <t>Footprint</t>
        </is>
      </c>
    </row>
    <row r="13">
      <c r="A13" s="11" t="inlineStr">
        <is>
          <t>Fuse cavity area (mm²)</t>
        </is>
      </c>
      <c r="B13" s="12">
        <f>B5*Assumptions!$B$6*Assumptions!$C$6+B6*Assumptions!$B$7*Assumptions!$C$7+B7*Assumptions!$B$8*Assumptions!$C$8+B8*Assumptions!$B$9*Assumptions!$C$9</f>
        <v/>
      </c>
      <c r="C13" s="12">
        <f>C5*Assumptions!$B$6*Assumptions!$C$6+C6*Assumptions!$B$7*Assumptions!$C$7+C7*Assumptions!$B$8*Assumptions!$C$8+C8*Assumptions!$B$9*Assumptions!$C$9</f>
        <v/>
      </c>
      <c r="D13" s="12">
        <f>D5*Assumptions!$B$6*Assumptions!$C$6+D6*Assumptions!$B$7*Assumptions!$C$7+D7*Assumptions!$B$8*Assumptions!$C$8+D8*Assumptions!$B$9*Assumptions!$C$9</f>
        <v/>
      </c>
      <c r="E13" s="12">
        <f>E5*Assumptions!$B$6*Assumptions!$C$6+E6*Assumptions!$B$7*Assumptions!$C$7+E7*Assumptions!$B$8*Assumptions!$C$8+E8*Assumptions!$B$9*Assumptions!$C$9</f>
        <v/>
      </c>
    </row>
    <row r="14">
      <c r="A14" s="11" t="inlineStr">
        <is>
          <t>Relay area (mm²)</t>
        </is>
      </c>
      <c r="B14" s="12">
        <f>B9*Assumptions!$B$10*Assumptions!$C$10+B10*Assumptions!$B$11*Assumptions!$C$11+B11*Assumptions!$B$12*Assumptions!$C$12</f>
        <v/>
      </c>
      <c r="C14" s="12">
        <f>C9*Assumptions!$B$10*Assumptions!$C$10+C10*Assumptions!$B$11*Assumptions!$C$11+C11*Assumptions!$B$12*Assumptions!$C$12</f>
        <v/>
      </c>
      <c r="D14" s="12">
        <f>D9*Assumptions!$B$10*Assumptions!$C$10+D10*Assumptions!$B$11*Assumptions!$C$11+D11*Assumptions!$B$12*Assumptions!$C$12</f>
        <v/>
      </c>
      <c r="E14" s="12">
        <f>E9*Assumptions!$B$10*Assumptions!$C$10+E10*Assumptions!$B$11*Assumptions!$C$11+E11*Assumptions!$B$12*Assumptions!$C$12</f>
        <v/>
      </c>
    </row>
    <row r="15">
      <c r="A15" s="11" t="inlineStr">
        <is>
          <t>Deepest fuse cavity (mm)</t>
        </is>
      </c>
      <c r="B15" s="30">
        <f>MAX(0,IF(B5&gt;0,Assumptions!$D$6,0),IF(B6&gt;0,Assumptions!$D$7,0),IF(B7&gt;0,Assumptions!$D$8,0),IF(B8&gt;0,Assumptions!$D$9,0))</f>
        <v/>
      </c>
      <c r="C15" s="30">
        <f>MAX(0,IF(C5&gt;0,Assumptions!$D$6,0),IF(C6&gt;0,Assumptions!$D$7,0),IF(C7&gt;0,Assumptions!$D$8,0),IF(C8&gt;0,Assumptions!$D$9,0))</f>
        <v/>
      </c>
      <c r="D15" s="30">
        <f>MAX(0,IF(D5&gt;0,Assumptions!$D$6,0),IF(D6&gt;0,Assumptions!$D$7,0),IF(D7&gt;0,Assumptions!$D$8,0),IF(D8&gt;0,Assumptions!$D$9,0))</f>
        <v/>
      </c>
      <c r="E15" s="30">
        <f>MAX(0,IF(E5&gt;0,Assumptions!$D$6,0),IF(E6&gt;0,Assumptions!$D$7,0),IF(E7&gt;0,Assumptions!$D$8,0),IF(E8&gt;0,Assumptions!$D$9,0))</f>
        <v/>
      </c>
    </row>
    <row r="16">
      <c r="A16" s="11" t="inlineStr">
        <is>
          <t>Tallest relay (mm)</t>
        </is>
      </c>
      <c r="B16" s="30">
        <f>MAX(0,IF(B9&gt;0,Assumptions!$D$10,0),IF(B10&gt;0,Assumptions!$D$11,0),IF(B11&gt;0,Assumptions!$D$12,0))</f>
        <v/>
      </c>
      <c r="C16" s="30">
        <f>MAX(0,IF(C9&gt;0,Assumptions!$D$10,0),IF(C10&gt;0,Assumptions!$D$11,0),IF(C11&gt;0,Assumptions!$D$12,0))</f>
        <v/>
      </c>
      <c r="D16" s="30">
        <f>MAX(0,IF(D9&gt;0,Assumptions!$D$10,0),IF(D10&gt;0,Assumptions!$D$11,0),IF(D11&gt;0,Assumptions!$D$12,0))</f>
        <v/>
      </c>
      <c r="E16" s="30">
        <f>MAX(0,IF(E9&gt;0,Assumptions!$D$10,0),IF(E10&gt;0,Assumptions!$D$11,0),IF(E11&gt;0,Assumptions!$D$12,0))</f>
        <v/>
      </c>
    </row>
    <row r="17">
      <c r="A17" s="11" t="inlineStr">
        <is>
          <t>Cavity rib volume (mm³)</t>
        </is>
      </c>
      <c r="B17" s="12">
        <f>B5*(Assumptions!$B$6+Assumptions!$C$6)*Assumptions!$B$20*Assumptions!$D$6+B6*(Assumptions!$B$7+Assumptions!$C$7)*Assumptions!$B$20*Assumptions!$D$7+B7*(Assumptions!$B$8+Assumptions!$C$8)*Assumptions!$B$20*Assumptions!$D$8+B8*(Assumptions!$B$9+Assumptions!$C$9)*Assumptions!$B$20*Assumptions!$D$9</f>
        <v/>
      </c>
      <c r="C17" s="12">
        <f>C5*(Assumptions!$B$6+Assumptions!$C$6)*Assumptions!$B$20*Assumptions!$D$6+C6*(Assumptions!$B$7+Assumptions!$C$7)*Assumptions!$B$20*Assumptions!$D$7+C7*(Assumptions!$B$8+Assumptions!$C$8)*Assumptions!$B$20*Assumptions!$D$8+C8*(Assumptions!$B$9+Assumptions!$C$9)*Assumptions!$B$20*Assumptions!$D$9</f>
        <v/>
      </c>
      <c r="D17" s="12">
        <f>D5*(Assumptions!$B$6+Assumptions!$C$6)*Assumptions!$B$20*Assumptions!$D$6+D6*(Assumptions!$B$7+Assumptions!$C$7)*Assumptions!$B$20*Assumptions!$D$7+D7*(Assumptions!$B$8+Assumptions!$C$8)*Assumptions!$B$20*Assumptions!$D$8+D8*(Assumptions!$B$9+Assumptions!$C$9)*Assumptions!$B$20*Assumptions!$D$9</f>
        <v/>
      </c>
      <c r="E17" s="12">
        <f>E5*(Assumptions!$B$6+Assumptions!$C$6)*Assumptions!$B$20*Assumptions!$D$6+E6*(Assumptions!$B$7+Assumptions!$C$7)*Assumptions!$B$20*Assumptions!$D$7+E7*(Assumptions!$B$8+Assumptions!$C$8)*Assumptions!$B$20*Assumptions!$D$8+E8*(Assumptions!$B$9+Assumptions!$C$9)*Assumptions!$B$20*Assumptions!$D$9</f>
        <v/>
      </c>
    </row>
    <row r="18">
      <c r="A18" s="11" t="inlineStr">
        <is>
          <t>Component area per layout (mm²)</t>
        </is>
      </c>
      <c r="B18" s="12">
        <f>IF(Estimator!$B$16="Under",MAX(B13,B14),B13+B14)</f>
        <v/>
      </c>
      <c r="C18" s="12">
        <f>IF(Estimator!$B$16="Under",MAX(C13,C14),C13+C14)</f>
        <v/>
      </c>
      <c r="D18" s="12">
        <f>IF(Estimator!$B$16="Under",MAX(D13,D14),D13+D14)</f>
        <v/>
      </c>
      <c r="E18" s="12">
        <f>IF(Estimator!$B$16="Under",MAX(E13,E14),E13+E14)</f>
        <v/>
      </c>
    </row>
    <row r="19">
      <c r="A19" s="11" t="inlineStr">
        <is>
          <t>Usable field area (mm²)</t>
        </is>
      </c>
      <c r="B19" s="12">
        <f>IF(Assumptions!$B$15&gt;0,B18/Assumptions!$B$15,0)+Assumptions!$B$16</f>
        <v/>
      </c>
      <c r="C19" s="12">
        <f>IF(Assumptions!$B$15&gt;0,C18/Assumptions!$B$15,0)+Assumptions!$B$16</f>
        <v/>
      </c>
      <c r="D19" s="12">
        <f>IF(Assumptions!$B$15&gt;0,D18/Assumptions!$B$15,0)+Assumptions!$B$16</f>
        <v/>
      </c>
      <c r="E19" s="12">
        <f>IF(Assumptions!$B$15&gt;0,E18/Assumptions!$B$15,0)+Assumptions!$B$16</f>
        <v/>
      </c>
    </row>
    <row r="20">
      <c r="A20" s="11" t="inlineStr">
        <is>
          <t>Field width (mm)</t>
        </is>
      </c>
      <c r="B20" s="30">
        <f>IF(Assumptions!$B$18&gt;0,SQRT(B19/Assumptions!$B$18),0)</f>
        <v/>
      </c>
      <c r="C20" s="30">
        <f>IF(Assumptions!$B$18&gt;0,SQRT(C19/Assumptions!$B$18),0)</f>
        <v/>
      </c>
      <c r="D20" s="30">
        <f>IF(Assumptions!$B$18&gt;0,SQRT(D19/Assumptions!$B$18),0)</f>
        <v/>
      </c>
      <c r="E20" s="30">
        <f>IF(Assumptions!$B$18&gt;0,SQRT(E19/Assumptions!$B$18),0)</f>
        <v/>
      </c>
    </row>
    <row r="21">
      <c r="A21" s="11" t="inlineStr">
        <is>
          <t>Field length (mm)</t>
        </is>
      </c>
      <c r="B21" s="30">
        <f>B20*Assumptions!$B$18</f>
        <v/>
      </c>
      <c r="C21" s="30">
        <f>C20*Assumptions!$B$18</f>
        <v/>
      </c>
      <c r="D21" s="30">
        <f>D20*Assumptions!$B$18</f>
        <v/>
      </c>
      <c r="E21" s="30">
        <f>E20*Assumptions!$B$18</f>
        <v/>
      </c>
    </row>
    <row r="22">
      <c r="A22" s="29" t="inlineStr">
        <is>
          <t>Part geometry</t>
        </is>
      </c>
    </row>
    <row r="23">
      <c r="A23" s="11" t="inlineStr">
        <is>
          <t>Housing L (mm)</t>
        </is>
      </c>
      <c r="B23" s="30">
        <f>B21+2*Assumptions!$B$17+2*Assumptions!$B$19</f>
        <v/>
      </c>
      <c r="C23" s="30">
        <f>C21+2*Assumptions!$B$17+2*Assumptions!$B$19</f>
        <v/>
      </c>
      <c r="D23" s="30">
        <f>D21+2*Assumptions!$B$17+2*Assumptions!$B$19</f>
        <v/>
      </c>
      <c r="E23" s="30">
        <f>E21+2*Assumptions!$B$17+2*Assumptions!$B$19</f>
        <v/>
      </c>
    </row>
    <row r="24">
      <c r="A24" s="11" t="inlineStr">
        <is>
          <t>Housing W (mm)</t>
        </is>
      </c>
      <c r="B24" s="30">
        <f>B20+2*Assumptions!$B$17+2*Assumptions!$B$19</f>
        <v/>
      </c>
      <c r="C24" s="30">
        <f>C20+2*Assumptions!$B$17+2*Assumptions!$B$19</f>
        <v/>
      </c>
      <c r="D24" s="30">
        <f>D20+2*Assumptions!$B$17+2*Assumptions!$B$19</f>
        <v/>
      </c>
      <c r="E24" s="30">
        <f>E20+2*Assumptions!$B$17+2*Assumptions!$B$19</f>
        <v/>
      </c>
    </row>
    <row r="25">
      <c r="A25" s="11" t="inlineStr">
        <is>
          <t>Housing H (mm)</t>
        </is>
      </c>
      <c r="B25" s="30">
        <f>B15+Assumptions!$B$21</f>
        <v/>
      </c>
      <c r="C25" s="30">
        <f>C15+Assumptions!$B$21</f>
        <v/>
      </c>
      <c r="D25" s="30">
        <f>D15+Assumptions!$B$21</f>
        <v/>
      </c>
      <c r="E25" s="30">
        <f>E15+Assumptions!$B$21</f>
        <v/>
      </c>
    </row>
    <row r="26">
      <c r="A26" s="11" t="inlineStr">
        <is>
          <t>Housing volume (mm³)</t>
        </is>
      </c>
      <c r="B26" s="12">
        <f>B23*B24*Assumptions!$B$19+2*(B23+B24)*B25*Assumptions!$B$19+B17</f>
        <v/>
      </c>
      <c r="C26" s="12">
        <f>C23*C24*Assumptions!$B$19+2*(C23+C24)*C25*Assumptions!$B$19+C17</f>
        <v/>
      </c>
      <c r="D26" s="12">
        <f>D23*D24*Assumptions!$B$19+2*(D23+D24)*D25*Assumptions!$B$19+D17</f>
        <v/>
      </c>
      <c r="E26" s="12">
        <f>E23*E24*Assumptions!$B$19+2*(E23+E24)*E25*Assumptions!$B$19+E17</f>
        <v/>
      </c>
    </row>
    <row r="27">
      <c r="A27" s="11" t="inlineStr">
        <is>
          <t>Cover L (mm)</t>
        </is>
      </c>
      <c r="B27" s="30">
        <f>B23+2*(Assumptions!$B$22+0.5)</f>
        <v/>
      </c>
      <c r="C27" s="30">
        <f>C23+2*(Assumptions!$B$22+0.5)</f>
        <v/>
      </c>
      <c r="D27" s="30">
        <f>D23+2*(Assumptions!$B$22+0.5)</f>
        <v/>
      </c>
      <c r="E27" s="30">
        <f>E23+2*(Assumptions!$B$22+0.5)</f>
        <v/>
      </c>
    </row>
    <row r="28">
      <c r="A28" s="11" t="inlineStr">
        <is>
          <t>Cover W (mm)</t>
        </is>
      </c>
      <c r="B28" s="30">
        <f>B24+2*(Assumptions!$B$22+0.5)</f>
        <v/>
      </c>
      <c r="C28" s="30">
        <f>C24+2*(Assumptions!$B$22+0.5)</f>
        <v/>
      </c>
      <c r="D28" s="30">
        <f>D24+2*(Assumptions!$B$22+0.5)</f>
        <v/>
      </c>
      <c r="E28" s="30">
        <f>E24+2*(Assumptions!$B$22+0.5)</f>
        <v/>
      </c>
    </row>
    <row r="29">
      <c r="A29" s="11" t="inlineStr">
        <is>
          <t>Upper cover H (mm)</t>
        </is>
      </c>
      <c r="B29" s="30">
        <f>Assumptions!$B$23+Assumptions!$B$24</f>
        <v/>
      </c>
      <c r="C29" s="30">
        <f>Assumptions!$B$23+Assumptions!$B$24</f>
        <v/>
      </c>
      <c r="D29" s="30">
        <f>Assumptions!$B$23+Assumptions!$B$24</f>
        <v/>
      </c>
      <c r="E29" s="30">
        <f>Assumptions!$B$23+Assumptions!$B$24</f>
        <v/>
      </c>
    </row>
    <row r="30">
      <c r="A30" s="11" t="inlineStr">
        <is>
          <t>Lower cover H (mm)</t>
        </is>
      </c>
      <c r="B30" s="30">
        <f>MAX(Assumptions!$B$25,B16+Assumptions!$B$24)</f>
        <v/>
      </c>
      <c r="C30" s="30">
        <f>MAX(Assumptions!$B$25,C16+Assumptions!$B$24)</f>
        <v/>
      </c>
      <c r="D30" s="30">
        <f>MAX(Assumptions!$B$25,D16+Assumptions!$B$24)</f>
        <v/>
      </c>
      <c r="E30" s="30">
        <f>MAX(Assumptions!$B$25,E16+Assumptions!$B$24)</f>
        <v/>
      </c>
    </row>
    <row r="31">
      <c r="A31" s="11" t="inlineStr">
        <is>
          <t>Upper cover volume (mm³)</t>
        </is>
      </c>
      <c r="B31" s="12">
        <f>B27*B28*Assumptions!$B$22+2*(B27+B28)*B29*Assumptions!$B$22</f>
        <v/>
      </c>
      <c r="C31" s="12">
        <f>C27*C28*Assumptions!$B$22+2*(C27+C28)*C29*Assumptions!$B$22</f>
        <v/>
      </c>
      <c r="D31" s="12">
        <f>D27*D28*Assumptions!$B$22+2*(D27+D28)*D29*Assumptions!$B$22</f>
        <v/>
      </c>
      <c r="E31" s="12">
        <f>E27*E28*Assumptions!$B$22+2*(E27+E28)*E29*Assumptions!$B$22</f>
        <v/>
      </c>
    </row>
    <row r="32">
      <c r="A32" s="11" t="inlineStr">
        <is>
          <t>Lower cover volume (mm³)</t>
        </is>
      </c>
      <c r="B32" s="12">
        <f>B27*B28*Assumptions!$B$22+2*(B27+B28)*B30*Assumptions!$B$22</f>
        <v/>
      </c>
      <c r="C32" s="12">
        <f>C27*C28*Assumptions!$B$22+2*(C27+C28)*C30*Assumptions!$B$22</f>
        <v/>
      </c>
      <c r="D32" s="12">
        <f>D27*D28*Assumptions!$B$22+2*(D27+D28)*D30*Assumptions!$B$22</f>
        <v/>
      </c>
      <c r="E32" s="12">
        <f>E27*E28*Assumptions!$B$22+2*(E27+E28)*E30*Assumptions!$B$22</f>
        <v/>
      </c>
    </row>
    <row r="33">
      <c r="A33" s="29" t="inlineStr">
        <is>
          <t>Main housing</t>
        </is>
      </c>
    </row>
    <row r="34">
      <c r="A34" s="11" t="inlineStr">
        <is>
          <t>Mass (g)</t>
        </is>
      </c>
      <c r="B34" s="30">
        <f>B26/1000*INDEX(Assumptions!$B$29:$B$31,MATCH(Estimator!$B$18,Assumptions!$A$29:$A$31,0))</f>
        <v/>
      </c>
      <c r="C34" s="30">
        <f>C26/1000*INDEX(Assumptions!$B$29:$B$31,MATCH(Estimator!$B$18,Assumptions!$A$29:$A$31,0))</f>
        <v/>
      </c>
      <c r="D34" s="30">
        <f>D26/1000*INDEX(Assumptions!$B$29:$B$31,MATCH(Estimator!$B$18,Assumptions!$A$29:$A$31,0))</f>
        <v/>
      </c>
      <c r="E34" s="30">
        <f>E26/1000*INDEX(Assumptions!$B$29:$B$31,MATCH(Estimator!$B$18,Assumptions!$A$29:$A$31,0))</f>
        <v/>
      </c>
    </row>
    <row r="35">
      <c r="A35" s="11" t="inlineStr">
        <is>
          <t>Material incl. runner ($)</t>
        </is>
      </c>
      <c r="B35" s="14">
        <f>B34/1000*(1+Assumptions!$B$34)*INDEX(Assumptions!$C$29:$C$31,MATCH(Estimator!$B$18,Assumptions!$A$29:$A$31,0))</f>
        <v/>
      </c>
      <c r="C35" s="14">
        <f>C34/1000*(1+Assumptions!$B$34)*INDEX(Assumptions!$C$29:$C$31,MATCH(Estimator!$B$18,Assumptions!$A$29:$A$31,0))</f>
        <v/>
      </c>
      <c r="D35" s="14">
        <f>D34/1000*(1+Assumptions!$B$34)*INDEX(Assumptions!$C$29:$C$31,MATCH(Estimator!$B$18,Assumptions!$A$29:$A$31,0))</f>
        <v/>
      </c>
      <c r="E35" s="14">
        <f>E34/1000*(1+Assumptions!$B$34)*INDEX(Assumptions!$C$29:$C$31,MATCH(Estimator!$B$18,Assumptions!$A$29:$A$31,0))</f>
        <v/>
      </c>
    </row>
    <row r="36">
      <c r="A36" s="11" t="inlineStr">
        <is>
          <t>Shot volume incl. runner (cm³)</t>
        </is>
      </c>
      <c r="B36" s="30">
        <f>B26/1000*Estimator!$B$17*(1+Assumptions!$B$34)</f>
        <v/>
      </c>
      <c r="C36" s="30">
        <f>C26/1000*Estimator!$B$17*(1+Assumptions!$B$34)</f>
        <v/>
      </c>
      <c r="D36" s="30">
        <f>D26/1000*Estimator!$B$17*(1+Assumptions!$B$34)</f>
        <v/>
      </c>
      <c r="E36" s="30">
        <f>E26/1000*Estimator!$B$17*(1+Assumptions!$B$34)</f>
        <v/>
      </c>
    </row>
    <row r="37">
      <c r="A37" s="11" t="inlineStr">
        <is>
          <t>Shot weight incl. runner (g)</t>
        </is>
      </c>
      <c r="B37" s="30">
        <f>B34*Estimator!$B$17*(1+Assumptions!$B$34)</f>
        <v/>
      </c>
      <c r="C37" s="30">
        <f>C34*Estimator!$B$17*(1+Assumptions!$B$34)</f>
        <v/>
      </c>
      <c r="D37" s="30">
        <f>D34*Estimator!$B$17*(1+Assumptions!$B$34)</f>
        <v/>
      </c>
      <c r="E37" s="30">
        <f>E34*Estimator!$B$17*(1+Assumptions!$B$34)</f>
        <v/>
      </c>
    </row>
    <row r="38">
      <c r="A38" s="11" t="inlineStr">
        <is>
          <t>Projected area incl. runner (in²)</t>
        </is>
      </c>
      <c r="B38" s="30">
        <f>B23*B24/645.16*Estimator!$B$17*(1+Assumptions!$B$35)</f>
        <v/>
      </c>
      <c r="C38" s="30">
        <f>C23*C24/645.16*Estimator!$B$17*(1+Assumptions!$B$35)</f>
        <v/>
      </c>
      <c r="D38" s="30">
        <f>D23*D24/645.16*Estimator!$B$17*(1+Assumptions!$B$35)</f>
        <v/>
      </c>
      <c r="E38" s="30">
        <f>E23*E24/645.16*Estimator!$B$17*(1+Assumptions!$B$35)</f>
        <v/>
      </c>
    </row>
    <row r="39">
      <c r="A39" s="11" t="inlineStr">
        <is>
          <t>Rule-of-thumb clamp (US t)</t>
        </is>
      </c>
      <c r="B39" s="12">
        <f>B38*Assumptions!$B$38</f>
        <v/>
      </c>
      <c r="C39" s="12">
        <f>C38*Assumptions!$B$38</f>
        <v/>
      </c>
      <c r="D39" s="12">
        <f>D38*Assumptions!$B$38</f>
        <v/>
      </c>
      <c r="E39" s="12">
        <f>E38*Assumptions!$B$38</f>
        <v/>
      </c>
    </row>
    <row r="40">
      <c r="A40" s="11" t="inlineStr">
        <is>
          <t>Rule-of-thumb clamp (metric t)</t>
        </is>
      </c>
      <c r="B40" s="31">
        <f>B39*0.90718474</f>
        <v/>
      </c>
      <c r="C40" s="31">
        <f>C39*0.90718474</f>
        <v/>
      </c>
      <c r="D40" s="31">
        <f>D39*0.90718474</f>
        <v/>
      </c>
      <c r="E40" s="31">
        <f>E39*0.90718474</f>
        <v/>
      </c>
    </row>
    <row r="41">
      <c r="A41" s="11" t="inlineStr">
        <is>
          <t>Press used (US t)</t>
        </is>
      </c>
      <c r="B41" s="12">
        <f>IF(ISNUMBER(Estimator!$B$26),Estimator!$B$26,B39)</f>
        <v/>
      </c>
      <c r="C41" s="12">
        <f>IF(ISNUMBER(Estimator!$B$26),Estimator!$B$26,C39)</f>
        <v/>
      </c>
      <c r="D41" s="12">
        <f>IF(ISNUMBER(Estimator!$B$26),Estimator!$B$26,D39)</f>
        <v/>
      </c>
      <c r="E41" s="12">
        <f>IF(ISNUMBER(Estimator!$B$26),Estimator!$B$26,E39)</f>
        <v/>
      </c>
    </row>
    <row r="42">
      <c r="A42" s="11" t="inlineStr">
        <is>
          <t>Cycle time (s)</t>
        </is>
      </c>
      <c r="B42" s="30">
        <f>Assumptions!$B$36+Assumptions!$B$37*Assumptions!$B$19^2</f>
        <v/>
      </c>
      <c r="C42" s="30">
        <f>Assumptions!$B$36+Assumptions!$B$37*Assumptions!$B$19^2</f>
        <v/>
      </c>
      <c r="D42" s="30">
        <f>Assumptions!$B$36+Assumptions!$B$37*Assumptions!$B$19^2</f>
        <v/>
      </c>
      <c r="E42" s="30">
        <f>Assumptions!$B$36+Assumptions!$B$37*Assumptions!$B$19^2</f>
        <v/>
      </c>
    </row>
    <row r="43">
      <c r="A43" s="11" t="inlineStr">
        <is>
          <t>Machine rate from band ($/hr)</t>
        </is>
      </c>
      <c r="B43" s="32">
        <f>IF(B41&lt;Assumptions!$B$42,Assumptions!$C$42,IF(B41&lt;Assumptions!$B$43,Assumptions!$C$43,IF(B41&lt;Assumptions!$B$44,Assumptions!$C$44,Assumptions!$C$45)))</f>
        <v/>
      </c>
      <c r="C43" s="32">
        <f>IF(C41&lt;Assumptions!$B$42,Assumptions!$C$42,IF(C41&lt;Assumptions!$B$43,Assumptions!$C$43,IF(C41&lt;Assumptions!$B$44,Assumptions!$C$44,Assumptions!$C$45)))</f>
        <v/>
      </c>
      <c r="D43" s="32">
        <f>IF(D41&lt;Assumptions!$B$42,Assumptions!$C$42,IF(D41&lt;Assumptions!$B$43,Assumptions!$C$43,IF(D41&lt;Assumptions!$B$44,Assumptions!$C$44,Assumptions!$C$45)))</f>
        <v/>
      </c>
      <c r="E43" s="32">
        <f>IF(E41&lt;Assumptions!$B$42,Assumptions!$C$42,IF(E41&lt;Assumptions!$B$43,Assumptions!$C$43,IF(E41&lt;Assumptions!$B$44,Assumptions!$C$44,Assumptions!$C$45)))</f>
        <v/>
      </c>
    </row>
    <row r="44">
      <c r="A44" s="11" t="inlineStr">
        <is>
          <t>Machine rate used ($/hr)</t>
        </is>
      </c>
      <c r="B44" s="32">
        <f>IF(ISNUMBER(Estimator!$B$27),Estimator!$B$27,B43)</f>
        <v/>
      </c>
      <c r="C44" s="32">
        <f>IF(ISNUMBER(Estimator!$B$27),Estimator!$B$27,C43)</f>
        <v/>
      </c>
      <c r="D44" s="32">
        <f>IF(ISNUMBER(Estimator!$B$27),Estimator!$B$27,D43)</f>
        <v/>
      </c>
      <c r="E44" s="32">
        <f>IF(ISNUMBER(Estimator!$B$27),Estimator!$B$27,E43)</f>
        <v/>
      </c>
    </row>
    <row r="45">
      <c r="A45" s="11" t="inlineStr">
        <is>
          <t>Labor ($/hr)</t>
        </is>
      </c>
      <c r="B45" s="32">
        <f>Estimator!$B$21*Estimator!$B$22</f>
        <v/>
      </c>
      <c r="C45" s="32">
        <f>Estimator!$B$21*Estimator!$B$22</f>
        <v/>
      </c>
      <c r="D45" s="32">
        <f>Estimator!$B$21*Estimator!$B$22</f>
        <v/>
      </c>
      <c r="E45" s="32">
        <f>Estimator!$B$21*Estimator!$B$22</f>
        <v/>
      </c>
    </row>
    <row r="46">
      <c r="A46" s="11" t="inlineStr">
        <is>
          <t>Molding ($)</t>
        </is>
      </c>
      <c r="B46" s="14">
        <f>(B44+B45)/3600*B42/Estimator!$B$17</f>
        <v/>
      </c>
      <c r="C46" s="14">
        <f>(C44+C45)/3600*C42/Estimator!$B$17</f>
        <v/>
      </c>
      <c r="D46" s="14">
        <f>(D44+D45)/3600*D42/Estimator!$B$17</f>
        <v/>
      </c>
      <c r="E46" s="14">
        <f>(E44+E45)/3600*E42/Estimator!$B$17</f>
        <v/>
      </c>
    </row>
    <row r="47">
      <c r="A47" s="11" t="inlineStr">
        <is>
          <t>Part cost ($)</t>
        </is>
      </c>
      <c r="B47" s="33">
        <f>B35+B46</f>
        <v/>
      </c>
      <c r="C47" s="33">
        <f>C35+C46</f>
        <v/>
      </c>
      <c r="D47" s="33">
        <f>D35+D46</f>
        <v/>
      </c>
      <c r="E47" s="33">
        <f>E35+E46</f>
        <v/>
      </c>
    </row>
    <row r="48">
      <c r="A48" s="29" t="inlineStr">
        <is>
          <t>Upper cover</t>
        </is>
      </c>
    </row>
    <row r="49">
      <c r="A49" s="11" t="inlineStr">
        <is>
          <t>Mass (g)</t>
        </is>
      </c>
      <c r="B49" s="30">
        <f>B31/1000*INDEX(Assumptions!$B$29:$B$31,MATCH(Estimator!$B$19,Assumptions!$A$29:$A$31,0))</f>
        <v/>
      </c>
      <c r="C49" s="30">
        <f>C31/1000*INDEX(Assumptions!$B$29:$B$31,MATCH(Estimator!$B$19,Assumptions!$A$29:$A$31,0))</f>
        <v/>
      </c>
      <c r="D49" s="30">
        <f>D31/1000*INDEX(Assumptions!$B$29:$B$31,MATCH(Estimator!$B$19,Assumptions!$A$29:$A$31,0))</f>
        <v/>
      </c>
      <c r="E49" s="30">
        <f>E31/1000*INDEX(Assumptions!$B$29:$B$31,MATCH(Estimator!$B$19,Assumptions!$A$29:$A$31,0))</f>
        <v/>
      </c>
    </row>
    <row r="50">
      <c r="A50" s="11" t="inlineStr">
        <is>
          <t>Material incl. runner ($)</t>
        </is>
      </c>
      <c r="B50" s="14">
        <f>B49/1000*(1+Assumptions!$B$34)*INDEX(Assumptions!$C$29:$C$31,MATCH(Estimator!$B$19,Assumptions!$A$29:$A$31,0))</f>
        <v/>
      </c>
      <c r="C50" s="14">
        <f>C49/1000*(1+Assumptions!$B$34)*INDEX(Assumptions!$C$29:$C$31,MATCH(Estimator!$B$19,Assumptions!$A$29:$A$31,0))</f>
        <v/>
      </c>
      <c r="D50" s="14">
        <f>D49/1000*(1+Assumptions!$B$34)*INDEX(Assumptions!$C$29:$C$31,MATCH(Estimator!$B$19,Assumptions!$A$29:$A$31,0))</f>
        <v/>
      </c>
      <c r="E50" s="14">
        <f>E49/1000*(1+Assumptions!$B$34)*INDEX(Assumptions!$C$29:$C$31,MATCH(Estimator!$B$19,Assumptions!$A$29:$A$31,0))</f>
        <v/>
      </c>
    </row>
    <row r="51">
      <c r="A51" s="11" t="inlineStr">
        <is>
          <t>Shot volume incl. runner (cm³)</t>
        </is>
      </c>
      <c r="B51" s="30">
        <f>B31/1000*Estimator!$B$17*(1+Assumptions!$B$34)</f>
        <v/>
      </c>
      <c r="C51" s="30">
        <f>C31/1000*Estimator!$B$17*(1+Assumptions!$B$34)</f>
        <v/>
      </c>
      <c r="D51" s="30">
        <f>D31/1000*Estimator!$B$17*(1+Assumptions!$B$34)</f>
        <v/>
      </c>
      <c r="E51" s="30">
        <f>E31/1000*Estimator!$B$17*(1+Assumptions!$B$34)</f>
        <v/>
      </c>
    </row>
    <row r="52">
      <c r="A52" s="11" t="inlineStr">
        <is>
          <t>Shot weight incl. runner (g)</t>
        </is>
      </c>
      <c r="B52" s="30">
        <f>B49*Estimator!$B$17*(1+Assumptions!$B$34)</f>
        <v/>
      </c>
      <c r="C52" s="30">
        <f>C49*Estimator!$B$17*(1+Assumptions!$B$34)</f>
        <v/>
      </c>
      <c r="D52" s="30">
        <f>D49*Estimator!$B$17*(1+Assumptions!$B$34)</f>
        <v/>
      </c>
      <c r="E52" s="30">
        <f>E49*Estimator!$B$17*(1+Assumptions!$B$34)</f>
        <v/>
      </c>
    </row>
    <row r="53">
      <c r="A53" s="11" t="inlineStr">
        <is>
          <t>Projected area incl. runner (in²)</t>
        </is>
      </c>
      <c r="B53" s="30">
        <f>B27*B28/645.16*Estimator!$B$17*(1+Assumptions!$B$35)</f>
        <v/>
      </c>
      <c r="C53" s="30">
        <f>C27*C28/645.16*Estimator!$B$17*(1+Assumptions!$B$35)</f>
        <v/>
      </c>
      <c r="D53" s="30">
        <f>D27*D28/645.16*Estimator!$B$17*(1+Assumptions!$B$35)</f>
        <v/>
      </c>
      <c r="E53" s="30">
        <f>E27*E28/645.16*Estimator!$B$17*(1+Assumptions!$B$35)</f>
        <v/>
      </c>
    </row>
    <row r="54">
      <c r="A54" s="11" t="inlineStr">
        <is>
          <t>Rule-of-thumb clamp (US t)</t>
        </is>
      </c>
      <c r="B54" s="12">
        <f>B53*Assumptions!$B$38</f>
        <v/>
      </c>
      <c r="C54" s="12">
        <f>C53*Assumptions!$B$38</f>
        <v/>
      </c>
      <c r="D54" s="12">
        <f>D53*Assumptions!$B$38</f>
        <v/>
      </c>
      <c r="E54" s="12">
        <f>E53*Assumptions!$B$38</f>
        <v/>
      </c>
    </row>
    <row r="55">
      <c r="A55" s="11" t="inlineStr">
        <is>
          <t>Rule-of-thumb clamp (metric t)</t>
        </is>
      </c>
      <c r="B55" s="31">
        <f>B54*0.90718474</f>
        <v/>
      </c>
      <c r="C55" s="31">
        <f>C54*0.90718474</f>
        <v/>
      </c>
      <c r="D55" s="31">
        <f>D54*0.90718474</f>
        <v/>
      </c>
      <c r="E55" s="31">
        <f>E54*0.90718474</f>
        <v/>
      </c>
    </row>
    <row r="56">
      <c r="A56" s="11" t="inlineStr">
        <is>
          <t>Press used (US t)</t>
        </is>
      </c>
      <c r="B56" s="12">
        <f>IF(ISNUMBER(Estimator!$C$26),Estimator!$C$26,B54)</f>
        <v/>
      </c>
      <c r="C56" s="12">
        <f>IF(ISNUMBER(Estimator!$C$26),Estimator!$C$26,C54)</f>
        <v/>
      </c>
      <c r="D56" s="12">
        <f>IF(ISNUMBER(Estimator!$C$26),Estimator!$C$26,D54)</f>
        <v/>
      </c>
      <c r="E56" s="12">
        <f>IF(ISNUMBER(Estimator!$C$26),Estimator!$C$26,E54)</f>
        <v/>
      </c>
    </row>
    <row r="57">
      <c r="A57" s="11" t="inlineStr">
        <is>
          <t>Cycle time (s)</t>
        </is>
      </c>
      <c r="B57" s="30">
        <f>Assumptions!$B$36+Assumptions!$B$37*Assumptions!$B$22^2</f>
        <v/>
      </c>
      <c r="C57" s="30">
        <f>Assumptions!$B$36+Assumptions!$B$37*Assumptions!$B$22^2</f>
        <v/>
      </c>
      <c r="D57" s="30">
        <f>Assumptions!$B$36+Assumptions!$B$37*Assumptions!$B$22^2</f>
        <v/>
      </c>
      <c r="E57" s="30">
        <f>Assumptions!$B$36+Assumptions!$B$37*Assumptions!$B$22^2</f>
        <v/>
      </c>
    </row>
    <row r="58">
      <c r="A58" s="11" t="inlineStr">
        <is>
          <t>Machine rate from band ($/hr)</t>
        </is>
      </c>
      <c r="B58" s="32">
        <f>IF(B56&lt;Assumptions!$B$42,Assumptions!$C$42,IF(B56&lt;Assumptions!$B$43,Assumptions!$C$43,IF(B56&lt;Assumptions!$B$44,Assumptions!$C$44,Assumptions!$C$45)))</f>
        <v/>
      </c>
      <c r="C58" s="32">
        <f>IF(C56&lt;Assumptions!$B$42,Assumptions!$C$42,IF(C56&lt;Assumptions!$B$43,Assumptions!$C$43,IF(C56&lt;Assumptions!$B$44,Assumptions!$C$44,Assumptions!$C$45)))</f>
        <v/>
      </c>
      <c r="D58" s="32">
        <f>IF(D56&lt;Assumptions!$B$42,Assumptions!$C$42,IF(D56&lt;Assumptions!$B$43,Assumptions!$C$43,IF(D56&lt;Assumptions!$B$44,Assumptions!$C$44,Assumptions!$C$45)))</f>
        <v/>
      </c>
      <c r="E58" s="32">
        <f>IF(E56&lt;Assumptions!$B$42,Assumptions!$C$42,IF(E56&lt;Assumptions!$B$43,Assumptions!$C$43,IF(E56&lt;Assumptions!$B$44,Assumptions!$C$44,Assumptions!$C$45)))</f>
        <v/>
      </c>
    </row>
    <row r="59">
      <c r="A59" s="11" t="inlineStr">
        <is>
          <t>Machine rate used ($/hr)</t>
        </is>
      </c>
      <c r="B59" s="32">
        <f>IF(ISNUMBER(Estimator!$C$27),Estimator!$C$27,B58)</f>
        <v/>
      </c>
      <c r="C59" s="32">
        <f>IF(ISNUMBER(Estimator!$C$27),Estimator!$C$27,C58)</f>
        <v/>
      </c>
      <c r="D59" s="32">
        <f>IF(ISNUMBER(Estimator!$C$27),Estimator!$C$27,D58)</f>
        <v/>
      </c>
      <c r="E59" s="32">
        <f>IF(ISNUMBER(Estimator!$C$27),Estimator!$C$27,E58)</f>
        <v/>
      </c>
    </row>
    <row r="60">
      <c r="A60" s="11" t="inlineStr">
        <is>
          <t>Labor ($/hr)</t>
        </is>
      </c>
      <c r="B60" s="32">
        <f>Estimator!$B$21*Estimator!$B$22</f>
        <v/>
      </c>
      <c r="C60" s="32">
        <f>Estimator!$B$21*Estimator!$B$22</f>
        <v/>
      </c>
      <c r="D60" s="32">
        <f>Estimator!$B$21*Estimator!$B$22</f>
        <v/>
      </c>
      <c r="E60" s="32">
        <f>Estimator!$B$21*Estimator!$B$22</f>
        <v/>
      </c>
    </row>
    <row r="61">
      <c r="A61" s="11" t="inlineStr">
        <is>
          <t>Molding ($)</t>
        </is>
      </c>
      <c r="B61" s="14">
        <f>(B59+B60)/3600*B57/Estimator!$B$17</f>
        <v/>
      </c>
      <c r="C61" s="14">
        <f>(C59+C60)/3600*C57/Estimator!$B$17</f>
        <v/>
      </c>
      <c r="D61" s="14">
        <f>(D59+D60)/3600*D57/Estimator!$B$17</f>
        <v/>
      </c>
      <c r="E61" s="14">
        <f>(E59+E60)/3600*E57/Estimator!$B$17</f>
        <v/>
      </c>
    </row>
    <row r="62">
      <c r="A62" s="11" t="inlineStr">
        <is>
          <t>Part cost ($)</t>
        </is>
      </c>
      <c r="B62" s="33">
        <f>B50+B61</f>
        <v/>
      </c>
      <c r="C62" s="33">
        <f>C50+C61</f>
        <v/>
      </c>
      <c r="D62" s="33">
        <f>D50+D61</f>
        <v/>
      </c>
      <c r="E62" s="33">
        <f>E50+E61</f>
        <v/>
      </c>
    </row>
    <row r="63">
      <c r="A63" s="29" t="inlineStr">
        <is>
          <t>Lower cover</t>
        </is>
      </c>
    </row>
    <row r="64">
      <c r="A64" s="11" t="inlineStr">
        <is>
          <t>Mass (g)</t>
        </is>
      </c>
      <c r="B64" s="30">
        <f>B32/1000*INDEX(Assumptions!$B$29:$B$31,MATCH(Estimator!$B$20,Assumptions!$A$29:$A$31,0))</f>
        <v/>
      </c>
      <c r="C64" s="30">
        <f>C32/1000*INDEX(Assumptions!$B$29:$B$31,MATCH(Estimator!$B$20,Assumptions!$A$29:$A$31,0))</f>
        <v/>
      </c>
      <c r="D64" s="30">
        <f>D32/1000*INDEX(Assumptions!$B$29:$B$31,MATCH(Estimator!$B$20,Assumptions!$A$29:$A$31,0))</f>
        <v/>
      </c>
      <c r="E64" s="30">
        <f>E32/1000*INDEX(Assumptions!$B$29:$B$31,MATCH(Estimator!$B$20,Assumptions!$A$29:$A$31,0))</f>
        <v/>
      </c>
    </row>
    <row r="65">
      <c r="A65" s="11" t="inlineStr">
        <is>
          <t>Material incl. runner ($)</t>
        </is>
      </c>
      <c r="B65" s="14">
        <f>B64/1000*(1+Assumptions!$B$34)*INDEX(Assumptions!$C$29:$C$31,MATCH(Estimator!$B$20,Assumptions!$A$29:$A$31,0))</f>
        <v/>
      </c>
      <c r="C65" s="14">
        <f>C64/1000*(1+Assumptions!$B$34)*INDEX(Assumptions!$C$29:$C$31,MATCH(Estimator!$B$20,Assumptions!$A$29:$A$31,0))</f>
        <v/>
      </c>
      <c r="D65" s="14">
        <f>D64/1000*(1+Assumptions!$B$34)*INDEX(Assumptions!$C$29:$C$31,MATCH(Estimator!$B$20,Assumptions!$A$29:$A$31,0))</f>
        <v/>
      </c>
      <c r="E65" s="14">
        <f>E64/1000*(1+Assumptions!$B$34)*INDEX(Assumptions!$C$29:$C$31,MATCH(Estimator!$B$20,Assumptions!$A$29:$A$31,0))</f>
        <v/>
      </c>
    </row>
    <row r="66">
      <c r="A66" s="11" t="inlineStr">
        <is>
          <t>Shot volume incl. runner (cm³)</t>
        </is>
      </c>
      <c r="B66" s="30">
        <f>B32/1000*Estimator!$B$17*(1+Assumptions!$B$34)</f>
        <v/>
      </c>
      <c r="C66" s="30">
        <f>C32/1000*Estimator!$B$17*(1+Assumptions!$B$34)</f>
        <v/>
      </c>
      <c r="D66" s="30">
        <f>D32/1000*Estimator!$B$17*(1+Assumptions!$B$34)</f>
        <v/>
      </c>
      <c r="E66" s="30">
        <f>E32/1000*Estimator!$B$17*(1+Assumptions!$B$34)</f>
        <v/>
      </c>
    </row>
    <row r="67">
      <c r="A67" s="11" t="inlineStr">
        <is>
          <t>Shot weight incl. runner (g)</t>
        </is>
      </c>
      <c r="B67" s="30">
        <f>B64*Estimator!$B$17*(1+Assumptions!$B$34)</f>
        <v/>
      </c>
      <c r="C67" s="30">
        <f>C64*Estimator!$B$17*(1+Assumptions!$B$34)</f>
        <v/>
      </c>
      <c r="D67" s="30">
        <f>D64*Estimator!$B$17*(1+Assumptions!$B$34)</f>
        <v/>
      </c>
      <c r="E67" s="30">
        <f>E64*Estimator!$B$17*(1+Assumptions!$B$34)</f>
        <v/>
      </c>
    </row>
    <row r="68">
      <c r="A68" s="11" t="inlineStr">
        <is>
          <t>Projected area incl. runner (in²)</t>
        </is>
      </c>
      <c r="B68" s="30">
        <f>B27*B28/645.16*Estimator!$B$17*(1+Assumptions!$B$35)</f>
        <v/>
      </c>
      <c r="C68" s="30">
        <f>C27*C28/645.16*Estimator!$B$17*(1+Assumptions!$B$35)</f>
        <v/>
      </c>
      <c r="D68" s="30">
        <f>D27*D28/645.16*Estimator!$B$17*(1+Assumptions!$B$35)</f>
        <v/>
      </c>
      <c r="E68" s="30">
        <f>E27*E28/645.16*Estimator!$B$17*(1+Assumptions!$B$35)</f>
        <v/>
      </c>
    </row>
    <row r="69">
      <c r="A69" s="11" t="inlineStr">
        <is>
          <t>Rule-of-thumb clamp (US t)</t>
        </is>
      </c>
      <c r="B69" s="12">
        <f>B68*Assumptions!$B$38</f>
        <v/>
      </c>
      <c r="C69" s="12">
        <f>C68*Assumptions!$B$38</f>
        <v/>
      </c>
      <c r="D69" s="12">
        <f>D68*Assumptions!$B$38</f>
        <v/>
      </c>
      <c r="E69" s="12">
        <f>E68*Assumptions!$B$38</f>
        <v/>
      </c>
    </row>
    <row r="70">
      <c r="A70" s="11" t="inlineStr">
        <is>
          <t>Rule-of-thumb clamp (metric t)</t>
        </is>
      </c>
      <c r="B70" s="31">
        <f>B69*0.90718474</f>
        <v/>
      </c>
      <c r="C70" s="31">
        <f>C69*0.90718474</f>
        <v/>
      </c>
      <c r="D70" s="31">
        <f>D69*0.90718474</f>
        <v/>
      </c>
      <c r="E70" s="31">
        <f>E69*0.90718474</f>
        <v/>
      </c>
    </row>
    <row r="71">
      <c r="A71" s="11" t="inlineStr">
        <is>
          <t>Press used (US t)</t>
        </is>
      </c>
      <c r="B71" s="12">
        <f>IF(ISNUMBER(Estimator!$D$26),Estimator!$D$26,B69)</f>
        <v/>
      </c>
      <c r="C71" s="12">
        <f>IF(ISNUMBER(Estimator!$D$26),Estimator!$D$26,C69)</f>
        <v/>
      </c>
      <c r="D71" s="12">
        <f>IF(ISNUMBER(Estimator!$D$26),Estimator!$D$26,D69)</f>
        <v/>
      </c>
      <c r="E71" s="12">
        <f>IF(ISNUMBER(Estimator!$D$26),Estimator!$D$26,E69)</f>
        <v/>
      </c>
    </row>
    <row r="72">
      <c r="A72" s="11" t="inlineStr">
        <is>
          <t>Cycle time (s)</t>
        </is>
      </c>
      <c r="B72" s="30">
        <f>Assumptions!$B$36+Assumptions!$B$37*Assumptions!$B$22^2</f>
        <v/>
      </c>
      <c r="C72" s="30">
        <f>Assumptions!$B$36+Assumptions!$B$37*Assumptions!$B$22^2</f>
        <v/>
      </c>
      <c r="D72" s="30">
        <f>Assumptions!$B$36+Assumptions!$B$37*Assumptions!$B$22^2</f>
        <v/>
      </c>
      <c r="E72" s="30">
        <f>Assumptions!$B$36+Assumptions!$B$37*Assumptions!$B$22^2</f>
        <v/>
      </c>
    </row>
    <row r="73">
      <c r="A73" s="11" t="inlineStr">
        <is>
          <t>Machine rate from band ($/hr)</t>
        </is>
      </c>
      <c r="B73" s="32">
        <f>IF(B71&lt;Assumptions!$B$42,Assumptions!$C$42,IF(B71&lt;Assumptions!$B$43,Assumptions!$C$43,IF(B71&lt;Assumptions!$B$44,Assumptions!$C$44,Assumptions!$C$45)))</f>
        <v/>
      </c>
      <c r="C73" s="32">
        <f>IF(C71&lt;Assumptions!$B$42,Assumptions!$C$42,IF(C71&lt;Assumptions!$B$43,Assumptions!$C$43,IF(C71&lt;Assumptions!$B$44,Assumptions!$C$44,Assumptions!$C$45)))</f>
        <v/>
      </c>
      <c r="D73" s="32">
        <f>IF(D71&lt;Assumptions!$B$42,Assumptions!$C$42,IF(D71&lt;Assumptions!$B$43,Assumptions!$C$43,IF(D71&lt;Assumptions!$B$44,Assumptions!$C$44,Assumptions!$C$45)))</f>
        <v/>
      </c>
      <c r="E73" s="32">
        <f>IF(E71&lt;Assumptions!$B$42,Assumptions!$C$42,IF(E71&lt;Assumptions!$B$43,Assumptions!$C$43,IF(E71&lt;Assumptions!$B$44,Assumptions!$C$44,Assumptions!$C$45)))</f>
        <v/>
      </c>
    </row>
    <row r="74">
      <c r="A74" s="11" t="inlineStr">
        <is>
          <t>Machine rate used ($/hr)</t>
        </is>
      </c>
      <c r="B74" s="32">
        <f>IF(ISNUMBER(Estimator!$D$27),Estimator!$D$27,B73)</f>
        <v/>
      </c>
      <c r="C74" s="32">
        <f>IF(ISNUMBER(Estimator!$D$27),Estimator!$D$27,C73)</f>
        <v/>
      </c>
      <c r="D74" s="32">
        <f>IF(ISNUMBER(Estimator!$D$27),Estimator!$D$27,D73)</f>
        <v/>
      </c>
      <c r="E74" s="32">
        <f>IF(ISNUMBER(Estimator!$D$27),Estimator!$D$27,E73)</f>
        <v/>
      </c>
    </row>
    <row r="75">
      <c r="A75" s="11" t="inlineStr">
        <is>
          <t>Labor ($/hr)</t>
        </is>
      </c>
      <c r="B75" s="32">
        <f>Estimator!$B$21*Estimator!$B$22</f>
        <v/>
      </c>
      <c r="C75" s="32">
        <f>Estimator!$B$21*Estimator!$B$22</f>
        <v/>
      </c>
      <c r="D75" s="32">
        <f>Estimator!$B$21*Estimator!$B$22</f>
        <v/>
      </c>
      <c r="E75" s="32">
        <f>Estimator!$B$21*Estimator!$B$22</f>
        <v/>
      </c>
    </row>
    <row r="76">
      <c r="A76" s="11" t="inlineStr">
        <is>
          <t>Molding ($)</t>
        </is>
      </c>
      <c r="B76" s="14">
        <f>(B74+B75)/3600*B72/Estimator!$B$17</f>
        <v/>
      </c>
      <c r="C76" s="14">
        <f>(C74+C75)/3600*C72/Estimator!$B$17</f>
        <v/>
      </c>
      <c r="D76" s="14">
        <f>(D74+D75)/3600*D72/Estimator!$B$17</f>
        <v/>
      </c>
      <c r="E76" s="14">
        <f>(E74+E75)/3600*E72/Estimator!$B$17</f>
        <v/>
      </c>
    </row>
    <row r="77">
      <c r="A77" s="11" t="inlineStr">
        <is>
          <t>Part cost ($)</t>
        </is>
      </c>
      <c r="B77" s="33">
        <f>B65+B76</f>
        <v/>
      </c>
      <c r="C77" s="33">
        <f>C65+C76</f>
        <v/>
      </c>
      <c r="D77" s="33">
        <f>D65+D76</f>
        <v/>
      </c>
      <c r="E77" s="33">
        <f>E65+E76</f>
        <v/>
      </c>
    </row>
    <row r="78">
      <c r="A78" s="29" t="inlineStr">
        <is>
          <t>Totals</t>
        </is>
      </c>
    </row>
    <row r="79">
      <c r="A79" s="7" t="inlineStr">
        <is>
          <t>Plastic cost per EDC set ($)</t>
        </is>
      </c>
      <c r="B79" s="34">
        <f>B47+B62+B77</f>
        <v/>
      </c>
      <c r="C79" s="34">
        <f>C47+C62+C77</f>
        <v/>
      </c>
      <c r="D79" s="34">
        <f>D47+D62+D77</f>
        <v/>
      </c>
      <c r="E79" s="34">
        <f>E47+E62+E77</f>
        <v/>
      </c>
    </row>
    <row r="80">
      <c r="A80" s="7" t="inlineStr">
        <is>
          <t>Total plastic (g)</t>
        </is>
      </c>
      <c r="B80" s="35">
        <f>B34+B49+B64</f>
        <v/>
      </c>
      <c r="C80" s="35">
        <f>C34+C49+C64</f>
        <v/>
      </c>
      <c r="D80" s="35">
        <f>D34+D49+D64</f>
        <v/>
      </c>
      <c r="E80" s="35">
        <f>E34+E49+E64</f>
        <v/>
      </c>
    </row>
    <row r="81">
      <c r="A81" s="7" t="inlineStr">
        <is>
          <t>Stack height (mm)</t>
        </is>
      </c>
      <c r="B81" s="35">
        <f>B25+B29+B30</f>
        <v/>
      </c>
      <c r="C81" s="35">
        <f>C25+C29+C30</f>
        <v/>
      </c>
      <c r="D81" s="35">
        <f>D25+D29+D30</f>
        <v/>
      </c>
      <c r="E81" s="35">
        <f>E25+E29+E30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2026-10-20T16:45:34Z</dcterms:created>
  <dcterms:modified xmlns:dcterms="http://purl.org/dc/terms/" xmlns:xsi="http://www.w3.org/2001/XMLSchema-instance" xsi:type="dcterms:W3CDTF">2026-10-20T16:45:34Z</dcterms:modified>
</cp:coreProperties>
</file>