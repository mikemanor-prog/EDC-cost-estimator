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or" sheetId="1" state="visible" r:id="rId3"/>
    <sheet name="Assumptions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Beside: relays add footprint area. Under: relays stack under the fuses, so footprint = larger of fuse or relay area.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L x W is the cavity pitch on the housing, including the rib between cavities. H is cavity depth (fuses) or body height (relays).</t>
        </r>
      </text>
    </comment>
  </commentList>
</comments>
</file>

<file path=xl/sharedStrings.xml><?xml version="1.0" encoding="utf-8"?>
<sst xmlns="http://schemas.openxmlformats.org/spreadsheetml/2006/main" count="161" uniqueCount="124">
  <si>
    <t xml:space="preserve">EDC Plastic Cost Estimator</t>
  </si>
  <si>
    <t xml:space="preserve">Enter fuse and relay counts. Get housing + cover size, weight and per-part cost.</t>
  </si>
  <si>
    <t xml:space="preserve">Legend: yellow cells with blue text are inputs; everything else is calculated. Material and molding assumptions live on the Assumptions tab.</t>
  </si>
  <si>
    <t xml:space="preserve">Inputs</t>
  </si>
  <si>
    <t xml:space="preserve">Results</t>
  </si>
  <si>
    <t xml:space="preserve">Fuses</t>
  </si>
  <si>
    <t xml:space="preserve">Count</t>
  </si>
  <si>
    <t xml:space="preserve">Plastic cost per EDC set</t>
  </si>
  <si>
    <t xml:space="preserve">Micro2</t>
  </si>
  <si>
    <t xml:space="preserve">Total plastic (g)</t>
  </si>
  <si>
    <t xml:space="preserve">Micro3</t>
  </si>
  <si>
    <t xml:space="preserve">Outer footprint L (mm)</t>
  </si>
  <si>
    <t xml:space="preserve">M-Case</t>
  </si>
  <si>
    <t xml:space="preserve">Outer footprint W (mm)</t>
  </si>
  <si>
    <t xml:space="preserve">A1S (placeholder size)</t>
  </si>
  <si>
    <t xml:space="preserve">Stack height (mm)</t>
  </si>
  <si>
    <t xml:space="preserve">PCB relays</t>
  </si>
  <si>
    <t xml:space="preserve">Micro PCB relay (up to 35 A)</t>
  </si>
  <si>
    <t xml:space="preserve">Marginal cost</t>
  </si>
  <si>
    <t xml:space="preserve">Mini PCB relay (35-70 A)</t>
  </si>
  <si>
    <t xml:space="preserve">Each extra Micro2 adds</t>
  </si>
  <si>
    <t xml:space="preserve">High-current PCB relay (70 A+)</t>
  </si>
  <si>
    <t xml:space="preserve">Each extra Micro3 adds</t>
  </si>
  <si>
    <t xml:space="preserve">Options</t>
  </si>
  <si>
    <t xml:space="preserve">Value</t>
  </si>
  <si>
    <t xml:space="preserve">Each extra Micro PCB relay adds</t>
  </si>
  <si>
    <t xml:space="preserve">Relay layout (relative to fuses)</t>
  </si>
  <si>
    <t xml:space="preserve">Beside</t>
  </si>
  <si>
    <t xml:space="preserve">Cavities per mold</t>
  </si>
  <si>
    <t xml:space="preserve">Main housing resin</t>
  </si>
  <si>
    <t xml:space="preserve">PA66-GF30</t>
  </si>
  <si>
    <t xml:space="preserve">Upper cover resin</t>
  </si>
  <si>
    <t xml:space="preserve">Lower cover resin</t>
  </si>
  <si>
    <t xml:space="preserve">Per-part breakdown</t>
  </si>
  <si>
    <t xml:space="preserve">Main housing</t>
  </si>
  <si>
    <t xml:space="preserve">Upper cover</t>
  </si>
  <si>
    <t xml:space="preserve">Lower cover</t>
  </si>
  <si>
    <t xml:space="preserve">Resin</t>
  </si>
  <si>
    <t xml:space="preserve">L (mm)</t>
  </si>
  <si>
    <t xml:space="preserve">W (mm)</t>
  </si>
  <si>
    <t xml:space="preserve">H (mm)</t>
  </si>
  <si>
    <t xml:space="preserve">Volume (cm³)</t>
  </si>
  <si>
    <t xml:space="preserve">Mass (g)</t>
  </si>
  <si>
    <t xml:space="preserve">Material</t>
  </si>
  <si>
    <t xml:space="preserve">Press tonnage (t)</t>
  </si>
  <si>
    <t xml:space="preserve">Cycle time (s)</t>
  </si>
  <si>
    <t xml:space="preserve">Molding</t>
  </si>
  <si>
    <t xml:space="preserve">Part cost</t>
  </si>
  <si>
    <t xml:space="preserve">Not ported from the web page: the to-scale plan view and its cavity-fit warning.</t>
  </si>
  <si>
    <t xml:space="preserve">Assumptions (edit the yellow cells to match your parts)</t>
  </si>
  <si>
    <t xml:space="preserve">Values are the defaults from the web estimator. Blue text on yellow = input. A1S footprint is a placeholder until real numbers are available.</t>
  </si>
  <si>
    <t xml:space="preserve">Component footprints</t>
  </si>
  <si>
    <t xml:space="preserve">Part</t>
  </si>
  <si>
    <t xml:space="preserve">Housing geometry</t>
  </si>
  <si>
    <t xml:space="preserve">Packing efficiency (0-1)</t>
  </si>
  <si>
    <t xml:space="preserve">Connector / stud area (mm²)</t>
  </si>
  <si>
    <t xml:space="preserve">Edge margin (mm)</t>
  </si>
  <si>
    <t xml:space="preserve">Aspect ratio L:W</t>
  </si>
  <si>
    <t xml:space="preserve">Housing wall (mm)</t>
  </si>
  <si>
    <t xml:space="preserve">Cavity rib (mm)</t>
  </si>
  <si>
    <t xml:space="preserve">PCB + busbar stack (mm)</t>
  </si>
  <si>
    <t xml:space="preserve">Cover wall (mm)</t>
  </si>
  <si>
    <t xml:space="preserve">Fuse head above housing (mm)</t>
  </si>
  <si>
    <t xml:space="preserve">Cover clearance (mm)</t>
  </si>
  <si>
    <t xml:space="preserve">Min lower cover height (mm)</t>
  </si>
  <si>
    <t xml:space="preserve">Resins</t>
  </si>
  <si>
    <t xml:space="preserve">Density (g/cm³)</t>
  </si>
  <si>
    <t xml:space="preserve">Price ($/kg)</t>
  </si>
  <si>
    <t xml:space="preserve">PBT-GF30</t>
  </si>
  <si>
    <t xml:space="preserve">PP-T20</t>
  </si>
  <si>
    <t xml:space="preserve">Runner / scrap (%)</t>
  </si>
  <si>
    <t xml:space="preserve">Cycle base (s)</t>
  </si>
  <si>
    <t xml:space="preserve">Cooling k (s/mm²)</t>
  </si>
  <si>
    <t xml:space="preserve">Clamp (tons/in²)</t>
  </si>
  <si>
    <t xml:space="preserve">Press rate &lt;300 t ($/hr)</t>
  </si>
  <si>
    <t xml:space="preserve">Press rate 300-500 t ($/hr)</t>
  </si>
  <si>
    <t xml:space="preserve">Press rate 500-800 t ($/hr)</t>
  </si>
  <si>
    <t xml:space="preserve">Press rate &gt;800 t ($/hr)</t>
  </si>
  <si>
    <t xml:space="preserve">Cycle time = base + k × wall².</t>
  </si>
  <si>
    <t xml:space="preserve">Clamp tonnage = projected area (in²) × tons/in² × cavities; press rate is picked from the tonnage bands.</t>
  </si>
  <si>
    <t xml:space="preserve">Molding cost per part = rate × cycle ÷ cavities. Material = mass × (1 + scrap) × $/kg.</t>
  </si>
  <si>
    <t xml:space="preserve">Calculation engine (no inputs here)</t>
  </si>
  <si>
    <t xml:space="preserve">Column B is the estimate. C-E add one part each so the Estimator can show marginal cost.</t>
  </si>
  <si>
    <t xml:space="preserve">Line item</t>
  </si>
  <si>
    <t xml:space="preserve">Base</t>
  </si>
  <si>
    <t xml:space="preserve">+1 Micro2</t>
  </si>
  <si>
    <t xml:space="preserve">+1 Micro3</t>
  </si>
  <si>
    <t xml:space="preserve">+1 Micro PCB relay</t>
  </si>
  <si>
    <t xml:space="preserve">Counts</t>
  </si>
  <si>
    <t xml:space="preserve">Micro2 count</t>
  </si>
  <si>
    <t xml:space="preserve">Micro3 count</t>
  </si>
  <si>
    <t xml:space="preserve">M-Case count</t>
  </si>
  <si>
    <t xml:space="preserve">A1S (placeholder size) count</t>
  </si>
  <si>
    <t xml:space="preserve">Micro PCB relay (up to 35 A) count</t>
  </si>
  <si>
    <t xml:space="preserve">Mini PCB relay (35-70 A) count</t>
  </si>
  <si>
    <t xml:space="preserve">High-current PCB relay (70 A+) count</t>
  </si>
  <si>
    <t xml:space="preserve">Footprint</t>
  </si>
  <si>
    <t xml:space="preserve">Fuse cavity area (mm²)</t>
  </si>
  <si>
    <t xml:space="preserve">Relay area (mm²)</t>
  </si>
  <si>
    <t xml:space="preserve">Deepest fuse cavity (mm)</t>
  </si>
  <si>
    <t xml:space="preserve">Tallest relay (mm)</t>
  </si>
  <si>
    <t xml:space="preserve">Cavity rib volume (mm³)</t>
  </si>
  <si>
    <t xml:space="preserve">Component area per layout (mm²)</t>
  </si>
  <si>
    <t xml:space="preserve">Usable field area (mm²)</t>
  </si>
  <si>
    <t xml:space="preserve">Field width (mm)</t>
  </si>
  <si>
    <t xml:space="preserve">Field length (mm)</t>
  </si>
  <si>
    <t xml:space="preserve">Part geometry</t>
  </si>
  <si>
    <t xml:space="preserve">Housing L (mm)</t>
  </si>
  <si>
    <t xml:space="preserve">Housing W (mm)</t>
  </si>
  <si>
    <t xml:space="preserve">Housing H (mm)</t>
  </si>
  <si>
    <t xml:space="preserve">Housing volume (mm³)</t>
  </si>
  <si>
    <t xml:space="preserve">Cover L (mm)</t>
  </si>
  <si>
    <t xml:space="preserve">Cover W (mm)</t>
  </si>
  <si>
    <t xml:space="preserve">Upper cover H (mm)</t>
  </si>
  <si>
    <t xml:space="preserve">Lower cover H (mm)</t>
  </si>
  <si>
    <t xml:space="preserve">Upper cover volume (mm³)</t>
  </si>
  <si>
    <t xml:space="preserve">Lower cover volume (mm³)</t>
  </si>
  <si>
    <t xml:space="preserve">Material ($)</t>
  </si>
  <si>
    <t xml:space="preserve">Clamp tonnage (t)</t>
  </si>
  <si>
    <t xml:space="preserve">Press rate ($/hr)</t>
  </si>
  <si>
    <t xml:space="preserve">Molding ($)</t>
  </si>
  <si>
    <t xml:space="preserve">Part cost ($)</t>
  </si>
  <si>
    <t xml:space="preserve">Totals</t>
  </si>
  <si>
    <t xml:space="preserve">Plastic cost per EDC set ($)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</si>
</sst>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#,##0"/>
    <numFmt numFmtId="167" formatCode="\$#,##0.0000;&quot;($&quot;#,##0.0000\);\-"/>
    <numFmt numFmtId="168" formatCode="@"/>
    <numFmt numFmtId="169" formatCode="#,##0.0"/>
    <numFmt numFmtId="170" formatCode="0.00"/>
    <numFmt numFmtId="171" formatCode="#,##0.00"/>
    <numFmt numFmtId="172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4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3A"/>
        <bgColor rgb="FF333300"/>
      </patternFill>
    </fill>
    <fill>
      <patternFill patternType="solid">
        <fgColor rgb="FFDCE3EC"/>
        <bgColor rgb="FFFCE9C8"/>
      </patternFill>
    </fill>
    <fill>
      <patternFill patternType="solid">
        <fgColor rgb="FFFCE9C8"/>
        <bgColor rgb="FFDCE3E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FCB"/>
      </left>
      <right style="thin">
        <color rgb="FFB7BFCB"/>
      </right>
      <top style="thin">
        <color rgb="FFB7BFCB"/>
      </top>
      <bottom style="thin">
        <color rgb="FFB7BF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FCB"/>
      <rgbColor rgb="FF808080"/>
      <rgbColor rgb="FF9999FF"/>
      <rgbColor rgb="FF993366"/>
      <rgbColor rgb="FFFCE9C8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D5" s="3" t="s">
        <v>4</v>
      </c>
      <c r="E5" s="4"/>
      <c r="F5" s="4"/>
      <c r="G5" s="4"/>
    </row>
    <row r="6" customFormat="false" ht="17.35" hidden="false" customHeight="false" outlineLevel="0" collapsed="false">
      <c r="A6" s="5" t="s">
        <v>5</v>
      </c>
      <c r="B6" s="6" t="s">
        <v>6</v>
      </c>
      <c r="D6" s="7" t="s">
        <v>7</v>
      </c>
      <c r="E6" s="8" t="n">
        <f aca="false">Calc!B58</f>
        <v>1.6597621623198</v>
      </c>
    </row>
    <row r="7" customFormat="false" ht="15" hidden="false" customHeight="false" outlineLevel="0" collapsed="false">
      <c r="A7" s="9" t="s">
        <v>8</v>
      </c>
      <c r="B7" s="10" t="n">
        <v>20</v>
      </c>
      <c r="D7" s="11" t="s">
        <v>9</v>
      </c>
      <c r="E7" s="12" t="n">
        <f aca="false">Calc!B59</f>
        <v>306.198138966812</v>
      </c>
    </row>
    <row r="8" customFormat="false" ht="15" hidden="false" customHeight="false" outlineLevel="0" collapsed="false">
      <c r="A8" s="9" t="s">
        <v>10</v>
      </c>
      <c r="B8" s="10" t="n">
        <v>10</v>
      </c>
      <c r="D8" s="11" t="s">
        <v>11</v>
      </c>
      <c r="E8" s="12" t="n">
        <f aca="false">Calc!B27</f>
        <v>166.195380273807</v>
      </c>
    </row>
    <row r="9" customFormat="false" ht="15" hidden="false" customHeight="false" outlineLevel="0" collapsed="false">
      <c r="A9" s="9" t="s">
        <v>12</v>
      </c>
      <c r="B9" s="10" t="n">
        <v>6</v>
      </c>
      <c r="D9" s="11" t="s">
        <v>13</v>
      </c>
      <c r="E9" s="12" t="n">
        <f aca="false">Calc!B28</f>
        <v>118.130253515871</v>
      </c>
    </row>
    <row r="10" customFormat="false" ht="15" hidden="false" customHeight="false" outlineLevel="0" collapsed="false">
      <c r="A10" s="9" t="s">
        <v>14</v>
      </c>
      <c r="B10" s="10" t="n">
        <v>2</v>
      </c>
      <c r="D10" s="11" t="s">
        <v>15</v>
      </c>
      <c r="E10" s="12" t="n">
        <f aca="false">Calc!B60</f>
        <v>70</v>
      </c>
    </row>
    <row r="11" customFormat="false" ht="15" hidden="false" customHeight="false" outlineLevel="0" collapsed="false">
      <c r="A11" s="5" t="s">
        <v>16</v>
      </c>
      <c r="B11" s="6" t="s">
        <v>6</v>
      </c>
    </row>
    <row r="12" customFormat="false" ht="15" hidden="false" customHeight="false" outlineLevel="0" collapsed="false">
      <c r="A12" s="9" t="s">
        <v>17</v>
      </c>
      <c r="B12" s="10" t="n">
        <v>8</v>
      </c>
      <c r="D12" s="13" t="s">
        <v>18</v>
      </c>
    </row>
    <row r="13" customFormat="false" ht="15" hidden="false" customHeight="false" outlineLevel="0" collapsed="false">
      <c r="A13" s="9" t="s">
        <v>19</v>
      </c>
      <c r="B13" s="10" t="n">
        <v>4</v>
      </c>
      <c r="D13" s="11" t="s">
        <v>20</v>
      </c>
      <c r="E13" s="14" t="n">
        <f aca="false">Calc!C58-Calc!B58</f>
        <v>0.0079744790503089</v>
      </c>
    </row>
    <row r="14" customFormat="false" ht="15" hidden="false" customHeight="false" outlineLevel="0" collapsed="false">
      <c r="A14" s="9" t="s">
        <v>21</v>
      </c>
      <c r="B14" s="10" t="n">
        <v>0</v>
      </c>
      <c r="D14" s="11" t="s">
        <v>22</v>
      </c>
      <c r="E14" s="14" t="n">
        <f aca="false">Calc!D58-Calc!B58</f>
        <v>0.0121242604980178</v>
      </c>
    </row>
    <row r="15" customFormat="false" ht="15" hidden="false" customHeight="false" outlineLevel="0" collapsed="false">
      <c r="A15" s="5" t="s">
        <v>23</v>
      </c>
      <c r="B15" s="6" t="s">
        <v>24</v>
      </c>
      <c r="D15" s="11" t="s">
        <v>25</v>
      </c>
      <c r="E15" s="14" t="n">
        <f aca="false">Calc!E58-Calc!B58</f>
        <v>0.01976908378356</v>
      </c>
    </row>
    <row r="16" customFormat="false" ht="15" hidden="false" customHeight="false" outlineLevel="0" collapsed="false">
      <c r="A16" s="9" t="s">
        <v>26</v>
      </c>
      <c r="B16" s="15" t="s">
        <v>27</v>
      </c>
    </row>
    <row r="17" customFormat="false" ht="15" hidden="false" customHeight="false" outlineLevel="0" collapsed="false">
      <c r="A17" s="9" t="s">
        <v>28</v>
      </c>
      <c r="B17" s="10" t="n">
        <v>2</v>
      </c>
    </row>
    <row r="18" customFormat="false" ht="15" hidden="false" customHeight="false" outlineLevel="0" collapsed="false">
      <c r="A18" s="9" t="s">
        <v>29</v>
      </c>
      <c r="B18" s="15" t="s">
        <v>30</v>
      </c>
    </row>
    <row r="19" customFormat="false" ht="15" hidden="false" customHeight="false" outlineLevel="0" collapsed="false">
      <c r="A19" s="9" t="s">
        <v>31</v>
      </c>
      <c r="B19" s="15" t="s">
        <v>30</v>
      </c>
    </row>
    <row r="20" customFormat="false" ht="15" hidden="false" customHeight="false" outlineLevel="0" collapsed="false">
      <c r="A20" s="9" t="s">
        <v>32</v>
      </c>
      <c r="B20" s="15" t="s">
        <v>30</v>
      </c>
    </row>
    <row r="22" customFormat="false" ht="15" hidden="false" customHeight="false" outlineLevel="0" collapsed="false">
      <c r="A22" s="3" t="s">
        <v>33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5"/>
      <c r="B23" s="6" t="s">
        <v>34</v>
      </c>
      <c r="C23" s="6" t="s">
        <v>35</v>
      </c>
      <c r="D23" s="6" t="s">
        <v>36</v>
      </c>
    </row>
    <row r="24" customFormat="false" ht="15" hidden="false" customHeight="false" outlineLevel="0" collapsed="false">
      <c r="A24" s="9" t="s">
        <v>37</v>
      </c>
      <c r="B24" s="16" t="str">
        <f aca="false">Estimator!$B$18</f>
        <v>PA66-GF30</v>
      </c>
      <c r="C24" s="16" t="str">
        <f aca="false">Estimator!$B$19</f>
        <v>PA66-GF30</v>
      </c>
      <c r="D24" s="16" t="str">
        <f aca="false">Estimator!$B$20</f>
        <v>PA66-GF30</v>
      </c>
    </row>
    <row r="25" customFormat="false" ht="15" hidden="false" customHeight="false" outlineLevel="0" collapsed="false">
      <c r="A25" s="9" t="s">
        <v>38</v>
      </c>
      <c r="B25" s="17" t="n">
        <f aca="false">Calc!B23</f>
        <v>161.195380273807</v>
      </c>
      <c r="C25" s="17" t="n">
        <f aca="false">Calc!B27</f>
        <v>166.195380273807</v>
      </c>
      <c r="D25" s="17" t="n">
        <f aca="false">Calc!B27</f>
        <v>166.195380273807</v>
      </c>
    </row>
    <row r="26" customFormat="false" ht="15" hidden="false" customHeight="false" outlineLevel="0" collapsed="false">
      <c r="A26" s="9" t="s">
        <v>39</v>
      </c>
      <c r="B26" s="17" t="n">
        <f aca="false">Calc!B24</f>
        <v>113.130253515871</v>
      </c>
      <c r="C26" s="17" t="n">
        <f aca="false">Calc!B28</f>
        <v>118.130253515871</v>
      </c>
      <c r="D26" s="17" t="n">
        <f aca="false">Calc!B28</f>
        <v>118.130253515871</v>
      </c>
    </row>
    <row r="27" customFormat="false" ht="15" hidden="false" customHeight="false" outlineLevel="0" collapsed="false">
      <c r="A27" s="9" t="s">
        <v>40</v>
      </c>
      <c r="B27" s="17" t="n">
        <f aca="false">Calc!B25</f>
        <v>28</v>
      </c>
      <c r="C27" s="17" t="n">
        <f aca="false">Calc!B29</f>
        <v>14</v>
      </c>
      <c r="D27" s="17" t="n">
        <f aca="false">Calc!B30</f>
        <v>28</v>
      </c>
    </row>
    <row r="28" customFormat="false" ht="15" hidden="false" customHeight="false" outlineLevel="0" collapsed="false">
      <c r="A28" s="9" t="s">
        <v>41</v>
      </c>
      <c r="B28" s="18" t="n">
        <f aca="false">Calc!B26/1000</f>
        <v>98.8481743204623</v>
      </c>
      <c r="C28" s="18" t="n">
        <f aca="false">Calc!B31/1000</f>
        <v>55.1876403020447</v>
      </c>
      <c r="D28" s="18" t="n">
        <f aca="false">Calc!B32/1000</f>
        <v>71.1098757942666</v>
      </c>
    </row>
    <row r="29" customFormat="false" ht="15" hidden="false" customHeight="false" outlineLevel="0" collapsed="false">
      <c r="A29" s="9" t="s">
        <v>42</v>
      </c>
      <c r="B29" s="17" t="n">
        <f aca="false">Calc!B34</f>
        <v>134.433517075829</v>
      </c>
      <c r="C29" s="17" t="n">
        <f aca="false">Calc!B42</f>
        <v>75.0551908107808</v>
      </c>
      <c r="D29" s="17" t="n">
        <f aca="false">Calc!B50</f>
        <v>96.7094310802026</v>
      </c>
    </row>
    <row r="30" customFormat="false" ht="15" hidden="false" customHeight="false" outlineLevel="0" collapsed="false">
      <c r="A30" s="9" t="s">
        <v>43</v>
      </c>
      <c r="B30" s="19" t="n">
        <f aca="false">Calc!B35</f>
        <v>0.551715154079201</v>
      </c>
      <c r="C30" s="19" t="n">
        <f aca="false">Calc!B43</f>
        <v>0.308026503087444</v>
      </c>
      <c r="D30" s="19" t="n">
        <f aca="false">Calc!B51</f>
        <v>0.396895505153152</v>
      </c>
    </row>
    <row r="31" customFormat="false" ht="15" hidden="false" customHeight="false" outlineLevel="0" collapsed="false">
      <c r="A31" s="9" t="s">
        <v>44</v>
      </c>
      <c r="B31" s="17" t="n">
        <f aca="false">Calc!B36</f>
        <v>197.861801183801</v>
      </c>
      <c r="C31" s="17" t="n">
        <f aca="false">Calc!B44</f>
        <v>213.015247123783</v>
      </c>
      <c r="D31" s="17" t="n">
        <f aca="false">Calc!B52</f>
        <v>213.015247123783</v>
      </c>
    </row>
    <row r="32" customFormat="false" ht="15" hidden="false" customHeight="false" outlineLevel="0" collapsed="false">
      <c r="A32" s="9" t="s">
        <v>45</v>
      </c>
      <c r="B32" s="17" t="n">
        <f aca="false">Calc!B37</f>
        <v>24.5</v>
      </c>
      <c r="C32" s="17" t="n">
        <f aca="false">Calc!B45</f>
        <v>20</v>
      </c>
      <c r="D32" s="17" t="n">
        <f aca="false">Calc!B53</f>
        <v>20</v>
      </c>
    </row>
    <row r="33" customFormat="false" ht="15" hidden="false" customHeight="false" outlineLevel="0" collapsed="false">
      <c r="A33" s="9" t="s">
        <v>46</v>
      </c>
      <c r="B33" s="19" t="n">
        <f aca="false">Calc!B39</f>
        <v>0.153125</v>
      </c>
      <c r="C33" s="19" t="n">
        <f aca="false">Calc!B47</f>
        <v>0.125</v>
      </c>
      <c r="D33" s="19" t="n">
        <f aca="false">Calc!B55</f>
        <v>0.125</v>
      </c>
    </row>
    <row r="34" customFormat="false" ht="15" hidden="false" customHeight="false" outlineLevel="0" collapsed="false">
      <c r="A34" s="20" t="s">
        <v>47</v>
      </c>
      <c r="B34" s="21" t="n">
        <f aca="false">Calc!B40</f>
        <v>0.704840154079201</v>
      </c>
      <c r="C34" s="21" t="n">
        <f aca="false">Calc!B48</f>
        <v>0.433026503087444</v>
      </c>
      <c r="D34" s="21" t="n">
        <f aca="false">Calc!B56</f>
        <v>0.521895505153152</v>
      </c>
    </row>
    <row r="36" customFormat="false" ht="15" hidden="false" customHeight="false" outlineLevel="0" collapsed="false">
      <c r="A36" s="2" t="s">
        <v>48</v>
      </c>
    </row>
  </sheetData>
  <dataValidations count="4">
    <dataValidation allowBlank="false" errorStyle="stop" operator="between" showDropDown="false" showErrorMessage="false" showInputMessage="false" sqref="B16" type="list">
      <formula1>"Beside,Under"</formula1>
      <formula2>0</formula2>
    </dataValidation>
    <dataValidation allowBlank="false" errorStyle="stop" operator="between" showDropDown="false" showErrorMessage="false" showInputMessage="false" sqref="B17" type="list">
      <formula1>"1,2,4,8"</formula1>
      <formula2>0</formula2>
    </dataValidation>
    <dataValidation allowBlank="false" errorStyle="stop" operator="between" showDropDown="false" showErrorMessage="false" showInputMessage="false" sqref="B18:B20" type="list">
      <formula1>Assumptions!$A$29:$A$31</formula1>
      <formula2>0</formula2>
    </dataValidation>
    <dataValidation allowBlank="false" error="Enter a whole number of 0 or more." errorStyle="stop" operator="greaterThanOrEqual" showDropDown="false" showErrorMessage="true" showInputMessage="false" sqref="B7:B1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22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4"/>
      <c r="C4" s="4"/>
      <c r="D4" s="4"/>
    </row>
    <row r="5" customFormat="false" ht="15" hidden="false" customHeight="false" outlineLevel="0" collapsed="false">
      <c r="A5" s="5" t="s">
        <v>52</v>
      </c>
      <c r="B5" s="6" t="s">
        <v>38</v>
      </c>
      <c r="C5" s="6" t="s">
        <v>39</v>
      </c>
      <c r="D5" s="6" t="s">
        <v>40</v>
      </c>
    </row>
    <row r="6" customFormat="false" ht="15" hidden="false" customHeight="false" outlineLevel="0" collapsed="false">
      <c r="A6" s="9" t="s">
        <v>8</v>
      </c>
      <c r="B6" s="23" t="n">
        <v>11.5</v>
      </c>
      <c r="C6" s="23" t="n">
        <v>6</v>
      </c>
      <c r="D6" s="23" t="n">
        <v>16</v>
      </c>
    </row>
    <row r="7" customFormat="false" ht="15" hidden="false" customHeight="false" outlineLevel="0" collapsed="false">
      <c r="A7" s="9" t="s">
        <v>10</v>
      </c>
      <c r="B7" s="23" t="n">
        <v>17</v>
      </c>
      <c r="C7" s="23" t="n">
        <v>6.5</v>
      </c>
      <c r="D7" s="23" t="n">
        <v>15</v>
      </c>
    </row>
    <row r="8" customFormat="false" ht="15" hidden="false" customHeight="false" outlineLevel="0" collapsed="false">
      <c r="A8" s="9" t="s">
        <v>12</v>
      </c>
      <c r="B8" s="23" t="n">
        <v>15</v>
      </c>
      <c r="C8" s="23" t="n">
        <v>10</v>
      </c>
      <c r="D8" s="23" t="n">
        <v>14</v>
      </c>
    </row>
    <row r="9" customFormat="false" ht="15" hidden="false" customHeight="false" outlineLevel="0" collapsed="false">
      <c r="A9" s="9" t="s">
        <v>14</v>
      </c>
      <c r="B9" s="23" t="n">
        <v>20</v>
      </c>
      <c r="C9" s="23" t="n">
        <v>12</v>
      </c>
      <c r="D9" s="23" t="n">
        <v>18</v>
      </c>
    </row>
    <row r="10" customFormat="false" ht="15" hidden="false" customHeight="false" outlineLevel="0" collapsed="false">
      <c r="A10" s="9" t="s">
        <v>17</v>
      </c>
      <c r="B10" s="23" t="n">
        <v>16</v>
      </c>
      <c r="C10" s="23" t="n">
        <v>14</v>
      </c>
      <c r="D10" s="23" t="n">
        <v>15</v>
      </c>
    </row>
    <row r="11" customFormat="false" ht="15" hidden="false" customHeight="false" outlineLevel="0" collapsed="false">
      <c r="A11" s="9" t="s">
        <v>19</v>
      </c>
      <c r="B11" s="23" t="n">
        <v>24</v>
      </c>
      <c r="C11" s="23" t="n">
        <v>18</v>
      </c>
      <c r="D11" s="23" t="n">
        <v>22</v>
      </c>
    </row>
    <row r="12" customFormat="false" ht="15" hidden="false" customHeight="false" outlineLevel="0" collapsed="false">
      <c r="A12" s="9" t="s">
        <v>21</v>
      </c>
      <c r="B12" s="23" t="n">
        <v>32</v>
      </c>
      <c r="C12" s="23" t="n">
        <v>24</v>
      </c>
      <c r="D12" s="23" t="n">
        <v>28</v>
      </c>
    </row>
    <row r="14" customFormat="false" ht="15" hidden="false" customHeight="false" outlineLevel="0" collapsed="false">
      <c r="A14" s="3" t="s">
        <v>53</v>
      </c>
      <c r="B14" s="4"/>
      <c r="C14" s="4"/>
      <c r="D14" s="4"/>
    </row>
    <row r="15" customFormat="false" ht="15" hidden="false" customHeight="false" outlineLevel="0" collapsed="false">
      <c r="A15" s="9" t="s">
        <v>54</v>
      </c>
      <c r="B15" s="24" t="n">
        <v>0.65</v>
      </c>
    </row>
    <row r="16" customFormat="false" ht="15" hidden="false" customHeight="false" outlineLevel="0" collapsed="false">
      <c r="A16" s="9" t="s">
        <v>55</v>
      </c>
      <c r="B16" s="10" t="n">
        <v>2500</v>
      </c>
    </row>
    <row r="17" customFormat="false" ht="15" hidden="false" customHeight="false" outlineLevel="0" collapsed="false">
      <c r="A17" s="9" t="s">
        <v>56</v>
      </c>
      <c r="B17" s="23" t="n">
        <v>6</v>
      </c>
    </row>
    <row r="18" customFormat="false" ht="15" hidden="false" customHeight="false" outlineLevel="0" collapsed="false">
      <c r="A18" s="9" t="s">
        <v>57</v>
      </c>
      <c r="B18" s="25" t="n">
        <v>1.5</v>
      </c>
    </row>
    <row r="19" customFormat="false" ht="15" hidden="false" customHeight="false" outlineLevel="0" collapsed="false">
      <c r="A19" s="9" t="s">
        <v>58</v>
      </c>
      <c r="B19" s="23" t="n">
        <v>2.5</v>
      </c>
    </row>
    <row r="20" customFormat="false" ht="15" hidden="false" customHeight="false" outlineLevel="0" collapsed="false">
      <c r="A20" s="9" t="s">
        <v>59</v>
      </c>
      <c r="B20" s="23" t="n">
        <v>1.2</v>
      </c>
    </row>
    <row r="21" customFormat="false" ht="15" hidden="false" customHeight="false" outlineLevel="0" collapsed="false">
      <c r="A21" s="9" t="s">
        <v>60</v>
      </c>
      <c r="B21" s="23" t="n">
        <v>10</v>
      </c>
    </row>
    <row r="22" customFormat="false" ht="15" hidden="false" customHeight="false" outlineLevel="0" collapsed="false">
      <c r="A22" s="9" t="s">
        <v>61</v>
      </c>
      <c r="B22" s="23" t="n">
        <v>2</v>
      </c>
    </row>
    <row r="23" customFormat="false" ht="15" hidden="false" customHeight="false" outlineLevel="0" collapsed="false">
      <c r="A23" s="9" t="s">
        <v>62</v>
      </c>
      <c r="B23" s="23" t="n">
        <v>8</v>
      </c>
    </row>
    <row r="24" customFormat="false" ht="15" hidden="false" customHeight="false" outlineLevel="0" collapsed="false">
      <c r="A24" s="9" t="s">
        <v>63</v>
      </c>
      <c r="B24" s="23" t="n">
        <v>6</v>
      </c>
    </row>
    <row r="25" customFormat="false" ht="15" hidden="false" customHeight="false" outlineLevel="0" collapsed="false">
      <c r="A25" s="9" t="s">
        <v>64</v>
      </c>
      <c r="B25" s="23" t="n">
        <v>15</v>
      </c>
    </row>
    <row r="27" customFormat="false" ht="15" hidden="false" customHeight="false" outlineLevel="0" collapsed="false">
      <c r="A27" s="3" t="s">
        <v>65</v>
      </c>
      <c r="B27" s="4"/>
      <c r="C27" s="4"/>
      <c r="D27" s="4"/>
    </row>
    <row r="28" customFormat="false" ht="23.85" hidden="false" customHeight="false" outlineLevel="0" collapsed="false">
      <c r="A28" s="5" t="s">
        <v>37</v>
      </c>
      <c r="B28" s="6" t="s">
        <v>66</v>
      </c>
      <c r="C28" s="6" t="s">
        <v>67</v>
      </c>
    </row>
    <row r="29" customFormat="false" ht="15" hidden="false" customHeight="false" outlineLevel="0" collapsed="false">
      <c r="A29" s="9" t="s">
        <v>30</v>
      </c>
      <c r="B29" s="25" t="n">
        <v>1.36</v>
      </c>
      <c r="C29" s="26" t="n">
        <v>3.8</v>
      </c>
    </row>
    <row r="30" customFormat="false" ht="15" hidden="false" customHeight="false" outlineLevel="0" collapsed="false">
      <c r="A30" s="9" t="s">
        <v>68</v>
      </c>
      <c r="B30" s="25" t="n">
        <v>1.53</v>
      </c>
      <c r="C30" s="26" t="n">
        <v>3.2</v>
      </c>
    </row>
    <row r="31" customFormat="false" ht="15" hidden="false" customHeight="false" outlineLevel="0" collapsed="false">
      <c r="A31" s="9" t="s">
        <v>69</v>
      </c>
      <c r="B31" s="25" t="n">
        <v>1.05</v>
      </c>
      <c r="C31" s="26" t="n">
        <v>1.8</v>
      </c>
    </row>
    <row r="33" customFormat="false" ht="15" hidden="false" customHeight="false" outlineLevel="0" collapsed="false">
      <c r="A33" s="3" t="s">
        <v>46</v>
      </c>
      <c r="B33" s="4"/>
      <c r="C33" s="4"/>
      <c r="D33" s="4"/>
    </row>
    <row r="34" customFormat="false" ht="15" hidden="false" customHeight="false" outlineLevel="0" collapsed="false">
      <c r="A34" s="9" t="s">
        <v>70</v>
      </c>
      <c r="B34" s="27" t="n">
        <v>0.08</v>
      </c>
    </row>
    <row r="35" customFormat="false" ht="15" hidden="false" customHeight="false" outlineLevel="0" collapsed="false">
      <c r="A35" s="9" t="s">
        <v>71</v>
      </c>
      <c r="B35" s="23" t="n">
        <v>12</v>
      </c>
    </row>
    <row r="36" customFormat="false" ht="15" hidden="false" customHeight="false" outlineLevel="0" collapsed="false">
      <c r="A36" s="9" t="s">
        <v>72</v>
      </c>
      <c r="B36" s="23" t="n">
        <v>2</v>
      </c>
    </row>
    <row r="37" customFormat="false" ht="15" hidden="false" customHeight="false" outlineLevel="0" collapsed="false">
      <c r="A37" s="9" t="s">
        <v>73</v>
      </c>
      <c r="B37" s="23" t="n">
        <v>3.5</v>
      </c>
    </row>
    <row r="38" customFormat="false" ht="15" hidden="false" customHeight="false" outlineLevel="0" collapsed="false">
      <c r="A38" s="9" t="s">
        <v>74</v>
      </c>
      <c r="B38" s="26" t="n">
        <v>45</v>
      </c>
    </row>
    <row r="39" customFormat="false" ht="15" hidden="false" customHeight="false" outlineLevel="0" collapsed="false">
      <c r="A39" s="9" t="s">
        <v>75</v>
      </c>
      <c r="B39" s="26" t="n">
        <v>60</v>
      </c>
    </row>
    <row r="40" customFormat="false" ht="15" hidden="false" customHeight="false" outlineLevel="0" collapsed="false">
      <c r="A40" s="9" t="s">
        <v>76</v>
      </c>
      <c r="B40" s="26" t="n">
        <v>80</v>
      </c>
    </row>
    <row r="41" customFormat="false" ht="15" hidden="false" customHeight="false" outlineLevel="0" collapsed="false">
      <c r="A41" s="9" t="s">
        <v>77</v>
      </c>
      <c r="B41" s="26" t="n">
        <v>110</v>
      </c>
    </row>
    <row r="43" customFormat="false" ht="15" hidden="false" customHeight="false" outlineLevel="0" collapsed="false">
      <c r="A43" s="2" t="s">
        <v>78</v>
      </c>
    </row>
    <row r="44" customFormat="false" ht="15" hidden="false" customHeight="false" outlineLevel="0" collapsed="false">
      <c r="A44" s="2" t="s">
        <v>79</v>
      </c>
    </row>
    <row r="45" customFormat="false" ht="15" hidden="false" customHeight="false" outlineLevel="0" collapsed="false">
      <c r="A45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22" t="s">
        <v>81</v>
      </c>
    </row>
    <row r="2" customFormat="false" ht="15" hidden="false" customHeight="false" outlineLevel="0" collapsed="false">
      <c r="A2" s="2" t="s">
        <v>82</v>
      </c>
    </row>
    <row r="3" customFormat="false" ht="23.85" hidden="false" customHeight="false" outlineLevel="0" collapsed="false">
      <c r="A3" s="5" t="s">
        <v>83</v>
      </c>
      <c r="B3" s="6" t="s">
        <v>84</v>
      </c>
      <c r="C3" s="6" t="s">
        <v>85</v>
      </c>
      <c r="D3" s="6" t="s">
        <v>86</v>
      </c>
      <c r="E3" s="6" t="s">
        <v>87</v>
      </c>
    </row>
    <row r="4" customFormat="false" ht="15" hidden="false" customHeight="false" outlineLevel="0" collapsed="false">
      <c r="A4" s="28" t="s">
        <v>88</v>
      </c>
    </row>
    <row r="5" customFormat="false" ht="15" hidden="false" customHeight="false" outlineLevel="0" collapsed="false">
      <c r="A5" s="11" t="s">
        <v>89</v>
      </c>
      <c r="B5" s="12" t="n">
        <f aca="false">Estimator!$B$7+0</f>
        <v>20</v>
      </c>
      <c r="C5" s="12" t="n">
        <f aca="false">Estimator!$B$7+1</f>
        <v>21</v>
      </c>
      <c r="D5" s="12" t="n">
        <f aca="false">Estimator!$B$7+0</f>
        <v>20</v>
      </c>
      <c r="E5" s="12" t="n">
        <f aca="false">Estimator!$B$7+0</f>
        <v>20</v>
      </c>
    </row>
    <row r="6" customFormat="false" ht="15" hidden="false" customHeight="false" outlineLevel="0" collapsed="false">
      <c r="A6" s="11" t="s">
        <v>90</v>
      </c>
      <c r="B6" s="12" t="n">
        <f aca="false">Estimator!$B$8+0</f>
        <v>10</v>
      </c>
      <c r="C6" s="12" t="n">
        <f aca="false">Estimator!$B$8+0</f>
        <v>10</v>
      </c>
      <c r="D6" s="12" t="n">
        <f aca="false">Estimator!$B$8+1</f>
        <v>11</v>
      </c>
      <c r="E6" s="12" t="n">
        <f aca="false">Estimator!$B$8+0</f>
        <v>10</v>
      </c>
    </row>
    <row r="7" customFormat="false" ht="15" hidden="false" customHeight="false" outlineLevel="0" collapsed="false">
      <c r="A7" s="11" t="s">
        <v>91</v>
      </c>
      <c r="B7" s="12" t="n">
        <f aca="false">Estimator!$B$9+0</f>
        <v>6</v>
      </c>
      <c r="C7" s="12" t="n">
        <f aca="false">Estimator!$B$9+0</f>
        <v>6</v>
      </c>
      <c r="D7" s="12" t="n">
        <f aca="false">Estimator!$B$9+0</f>
        <v>6</v>
      </c>
      <c r="E7" s="12" t="n">
        <f aca="false">Estimator!$B$9+0</f>
        <v>6</v>
      </c>
    </row>
    <row r="8" customFormat="false" ht="15" hidden="false" customHeight="false" outlineLevel="0" collapsed="false">
      <c r="A8" s="11" t="s">
        <v>92</v>
      </c>
      <c r="B8" s="12" t="n">
        <f aca="false">Estimator!$B$10+0</f>
        <v>2</v>
      </c>
      <c r="C8" s="12" t="n">
        <f aca="false">Estimator!$B$10+0</f>
        <v>2</v>
      </c>
      <c r="D8" s="12" t="n">
        <f aca="false">Estimator!$B$10+0</f>
        <v>2</v>
      </c>
      <c r="E8" s="12" t="n">
        <f aca="false">Estimator!$B$10+0</f>
        <v>2</v>
      </c>
    </row>
    <row r="9" customFormat="false" ht="15" hidden="false" customHeight="false" outlineLevel="0" collapsed="false">
      <c r="A9" s="11" t="s">
        <v>93</v>
      </c>
      <c r="B9" s="12" t="n">
        <f aca="false">Estimator!$B$12+0</f>
        <v>8</v>
      </c>
      <c r="C9" s="12" t="n">
        <f aca="false">Estimator!$B$12+0</f>
        <v>8</v>
      </c>
      <c r="D9" s="12" t="n">
        <f aca="false">Estimator!$B$12+0</f>
        <v>8</v>
      </c>
      <c r="E9" s="12" t="n">
        <f aca="false">Estimator!$B$12+1</f>
        <v>9</v>
      </c>
    </row>
    <row r="10" customFormat="false" ht="15" hidden="false" customHeight="false" outlineLevel="0" collapsed="false">
      <c r="A10" s="11" t="s">
        <v>94</v>
      </c>
      <c r="B10" s="12" t="n">
        <f aca="false">Estimator!$B$13+0</f>
        <v>4</v>
      </c>
      <c r="C10" s="12" t="n">
        <f aca="false">Estimator!$B$13+0</f>
        <v>4</v>
      </c>
      <c r="D10" s="12" t="n">
        <f aca="false">Estimator!$B$13+0</f>
        <v>4</v>
      </c>
      <c r="E10" s="12" t="n">
        <f aca="false">Estimator!$B$13+0</f>
        <v>4</v>
      </c>
    </row>
    <row r="11" customFormat="false" ht="15" hidden="false" customHeight="false" outlineLevel="0" collapsed="false">
      <c r="A11" s="11" t="s">
        <v>95</v>
      </c>
      <c r="B11" s="12" t="n">
        <f aca="false">Estimator!$B$14+0</f>
        <v>0</v>
      </c>
      <c r="C11" s="12" t="n">
        <f aca="false">Estimator!$B$14+0</f>
        <v>0</v>
      </c>
      <c r="D11" s="12" t="n">
        <f aca="false">Estimator!$B$14+0</f>
        <v>0</v>
      </c>
      <c r="E11" s="12" t="n">
        <f aca="false">Estimator!$B$14+0</f>
        <v>0</v>
      </c>
    </row>
    <row r="12" customFormat="false" ht="15" hidden="false" customHeight="false" outlineLevel="0" collapsed="false">
      <c r="A12" s="28" t="s">
        <v>96</v>
      </c>
    </row>
    <row r="13" customFormat="false" ht="15" hidden="false" customHeight="false" outlineLevel="0" collapsed="false">
      <c r="A13" s="11" t="s">
        <v>97</v>
      </c>
      <c r="B13" s="12" t="n">
        <f aca="false">B5*Assumptions!$B$6*Assumptions!$C$6+B6*Assumptions!$B$7*Assumptions!$C$7+B7*Assumptions!$B$8*Assumptions!$C$8+B8*Assumptions!$B$9*Assumptions!$C$9</f>
        <v>3865</v>
      </c>
      <c r="C13" s="12" t="n">
        <f aca="false">C5*Assumptions!$B$6*Assumptions!$C$6+C6*Assumptions!$B$7*Assumptions!$C$7+C7*Assumptions!$B$8*Assumptions!$C$8+C8*Assumptions!$B$9*Assumptions!$C$9</f>
        <v>3934</v>
      </c>
      <c r="D13" s="12" t="n">
        <f aca="false">D5*Assumptions!$B$6*Assumptions!$C$6+D6*Assumptions!$B$7*Assumptions!$C$7+D7*Assumptions!$B$8*Assumptions!$C$8+D8*Assumptions!$B$9*Assumptions!$C$9</f>
        <v>3975.5</v>
      </c>
      <c r="E13" s="12" t="n">
        <f aca="false">E5*Assumptions!$B$6*Assumptions!$C$6+E6*Assumptions!$B$7*Assumptions!$C$7+E7*Assumptions!$B$8*Assumptions!$C$8+E8*Assumptions!$B$9*Assumptions!$C$9</f>
        <v>3865</v>
      </c>
    </row>
    <row r="14" customFormat="false" ht="15" hidden="false" customHeight="false" outlineLevel="0" collapsed="false">
      <c r="A14" s="11" t="s">
        <v>98</v>
      </c>
      <c r="B14" s="12" t="n">
        <f aca="false">B9*Assumptions!$B$10*Assumptions!$C$10+B10*Assumptions!$B$11*Assumptions!$C$11+B11*Assumptions!$B$12*Assumptions!$C$12</f>
        <v>3520</v>
      </c>
      <c r="C14" s="12" t="n">
        <f aca="false">C9*Assumptions!$B$10*Assumptions!$C$10+C10*Assumptions!$B$11*Assumptions!$C$11+C11*Assumptions!$B$12*Assumptions!$C$12</f>
        <v>3520</v>
      </c>
      <c r="D14" s="12" t="n">
        <f aca="false">D9*Assumptions!$B$10*Assumptions!$C$10+D10*Assumptions!$B$11*Assumptions!$C$11+D11*Assumptions!$B$12*Assumptions!$C$12</f>
        <v>3520</v>
      </c>
      <c r="E14" s="12" t="n">
        <f aca="false">E9*Assumptions!$B$10*Assumptions!$C$10+E10*Assumptions!$B$11*Assumptions!$C$11+E11*Assumptions!$B$12*Assumptions!$C$12</f>
        <v>3744</v>
      </c>
    </row>
    <row r="15" customFormat="false" ht="15" hidden="false" customHeight="false" outlineLevel="0" collapsed="false">
      <c r="A15" s="11" t="s">
        <v>99</v>
      </c>
      <c r="B15" s="29" t="n">
        <f aca="false">MAX(0,IF(B5&gt;0,Assumptions!$D$6,0),IF(B6&gt;0,Assumptions!$D$7,0),IF(B7&gt;0,Assumptions!$D$8,0),IF(B8&gt;0,Assumptions!$D$9,0))</f>
        <v>18</v>
      </c>
      <c r="C15" s="29" t="n">
        <f aca="false">MAX(0,IF(C5&gt;0,Assumptions!$D$6,0),IF(C6&gt;0,Assumptions!$D$7,0),IF(C7&gt;0,Assumptions!$D$8,0),IF(C8&gt;0,Assumptions!$D$9,0))</f>
        <v>18</v>
      </c>
      <c r="D15" s="29" t="n">
        <f aca="false">MAX(0,IF(D5&gt;0,Assumptions!$D$6,0),IF(D6&gt;0,Assumptions!$D$7,0),IF(D7&gt;0,Assumptions!$D$8,0),IF(D8&gt;0,Assumptions!$D$9,0))</f>
        <v>18</v>
      </c>
      <c r="E15" s="29" t="n">
        <f aca="false">MAX(0,IF(E5&gt;0,Assumptions!$D$6,0),IF(E6&gt;0,Assumptions!$D$7,0),IF(E7&gt;0,Assumptions!$D$8,0),IF(E8&gt;0,Assumptions!$D$9,0))</f>
        <v>18</v>
      </c>
    </row>
    <row r="16" customFormat="false" ht="15" hidden="false" customHeight="false" outlineLevel="0" collapsed="false">
      <c r="A16" s="11" t="s">
        <v>100</v>
      </c>
      <c r="B16" s="29" t="n">
        <f aca="false">MAX(0,IF(B9&gt;0,Assumptions!$D$10,0),IF(B10&gt;0,Assumptions!$D$11,0),IF(B11&gt;0,Assumptions!$D$12,0))</f>
        <v>22</v>
      </c>
      <c r="C16" s="29" t="n">
        <f aca="false">MAX(0,IF(C9&gt;0,Assumptions!$D$10,0),IF(C10&gt;0,Assumptions!$D$11,0),IF(C11&gt;0,Assumptions!$D$12,0))</f>
        <v>22</v>
      </c>
      <c r="D16" s="29" t="n">
        <f aca="false">MAX(0,IF(D9&gt;0,Assumptions!$D$10,0),IF(D10&gt;0,Assumptions!$D$11,0),IF(D11&gt;0,Assumptions!$D$12,0))</f>
        <v>22</v>
      </c>
      <c r="E16" s="29" t="n">
        <f aca="false">MAX(0,IF(E9&gt;0,Assumptions!$D$10,0),IF(E10&gt;0,Assumptions!$D$11,0),IF(E11&gt;0,Assumptions!$D$12,0))</f>
        <v>22</v>
      </c>
    </row>
    <row r="17" customFormat="false" ht="15" hidden="false" customHeight="false" outlineLevel="0" collapsed="false">
      <c r="A17" s="11" t="s">
        <v>101</v>
      </c>
      <c r="B17" s="12" t="n">
        <f aca="false">B5*(Assumptions!$B$6+Assumptions!$C$6)*Assumptions!$B$20*Assumptions!$D$6+B6*(Assumptions!$B$7+Assumptions!$C$7)*Assumptions!$B$20*Assumptions!$D$7+B7*(Assumptions!$B$8+Assumptions!$C$8)*Assumptions!$B$20*Assumptions!$D$8+B8*(Assumptions!$B$9+Assumptions!$C$9)*Assumptions!$B$20*Assumptions!$D$9</f>
        <v>14852.4</v>
      </c>
      <c r="C17" s="12" t="n">
        <f aca="false">C5*(Assumptions!$B$6+Assumptions!$C$6)*Assumptions!$B$20*Assumptions!$D$6+C6*(Assumptions!$B$7+Assumptions!$C$7)*Assumptions!$B$20*Assumptions!$D$7+C7*(Assumptions!$B$8+Assumptions!$C$8)*Assumptions!$B$20*Assumptions!$D$8+C8*(Assumptions!$B$9+Assumptions!$C$9)*Assumptions!$B$20*Assumptions!$D$9</f>
        <v>15188.4</v>
      </c>
      <c r="D17" s="12" t="n">
        <f aca="false">D5*(Assumptions!$B$6+Assumptions!$C$6)*Assumptions!$B$20*Assumptions!$D$6+D6*(Assumptions!$B$7+Assumptions!$C$7)*Assumptions!$B$20*Assumptions!$D$7+D7*(Assumptions!$B$8+Assumptions!$C$8)*Assumptions!$B$20*Assumptions!$D$8+D8*(Assumptions!$B$9+Assumptions!$C$9)*Assumptions!$B$20*Assumptions!$D$9</f>
        <v>15275.4</v>
      </c>
      <c r="E17" s="12" t="n">
        <f aca="false">E5*(Assumptions!$B$6+Assumptions!$C$6)*Assumptions!$B$20*Assumptions!$D$6+E6*(Assumptions!$B$7+Assumptions!$C$7)*Assumptions!$B$20*Assumptions!$D$7+E7*(Assumptions!$B$8+Assumptions!$C$8)*Assumptions!$B$20*Assumptions!$D$8+E8*(Assumptions!$B$9+Assumptions!$C$9)*Assumptions!$B$20*Assumptions!$D$9</f>
        <v>14852.4</v>
      </c>
    </row>
    <row r="18" customFormat="false" ht="15" hidden="false" customHeight="false" outlineLevel="0" collapsed="false">
      <c r="A18" s="11" t="s">
        <v>102</v>
      </c>
      <c r="B18" s="12" t="n">
        <f aca="false">IF(Estimator!$B$16="Under",MAX(B13,B14),B13+B14)</f>
        <v>7385</v>
      </c>
      <c r="C18" s="12" t="n">
        <f aca="false">IF(Estimator!$B$16="Under",MAX(C13,C14),C13+C14)</f>
        <v>7454</v>
      </c>
      <c r="D18" s="12" t="n">
        <f aca="false">IF(Estimator!$B$16="Under",MAX(D13,D14),D13+D14)</f>
        <v>7495.5</v>
      </c>
      <c r="E18" s="12" t="n">
        <f aca="false">IF(Estimator!$B$16="Under",MAX(E13,E14),E13+E14)</f>
        <v>7609</v>
      </c>
    </row>
    <row r="19" customFormat="false" ht="15" hidden="false" customHeight="false" outlineLevel="0" collapsed="false">
      <c r="A19" s="11" t="s">
        <v>103</v>
      </c>
      <c r="B19" s="12" t="n">
        <f aca="false">IF(Assumptions!$B$15&gt;0,B18/Assumptions!$B$15,0)+Assumptions!$B$16</f>
        <v>13861.5384615385</v>
      </c>
      <c r="C19" s="12" t="n">
        <f aca="false">IF(Assumptions!$B$15&gt;0,C18/Assumptions!$B$15,0)+Assumptions!$B$16</f>
        <v>13967.6923076923</v>
      </c>
      <c r="D19" s="12" t="n">
        <f aca="false">IF(Assumptions!$B$15&gt;0,D18/Assumptions!$B$15,0)+Assumptions!$B$16</f>
        <v>14031.5384615385</v>
      </c>
      <c r="E19" s="12" t="n">
        <f aca="false">IF(Assumptions!$B$15&gt;0,E18/Assumptions!$B$15,0)+Assumptions!$B$16</f>
        <v>14206.1538461538</v>
      </c>
    </row>
    <row r="20" customFormat="false" ht="15" hidden="false" customHeight="false" outlineLevel="0" collapsed="false">
      <c r="A20" s="11" t="s">
        <v>104</v>
      </c>
      <c r="B20" s="29" t="n">
        <f aca="false">IF(Assumptions!$B$18&gt;0,SQRT(B19/Assumptions!$B$18),0)</f>
        <v>96.1302535158711</v>
      </c>
      <c r="C20" s="29" t="n">
        <f aca="false">IF(Assumptions!$B$18&gt;0,SQRT(C19/Assumptions!$B$18),0)</f>
        <v>96.4976417939572</v>
      </c>
      <c r="D20" s="29" t="n">
        <f aca="false">IF(Assumptions!$B$18&gt;0,SQRT(D19/Assumptions!$B$18),0)</f>
        <v>96.7179351224941</v>
      </c>
      <c r="E20" s="29" t="n">
        <f aca="false">IF(Assumptions!$B$18&gt;0,SQRT(E19/Assumptions!$B$18),0)</f>
        <v>97.3178772413848</v>
      </c>
    </row>
    <row r="21" customFormat="false" ht="15" hidden="false" customHeight="false" outlineLevel="0" collapsed="false">
      <c r="A21" s="11" t="s">
        <v>105</v>
      </c>
      <c r="B21" s="29" t="n">
        <f aca="false">B20*Assumptions!$B$18</f>
        <v>144.195380273807</v>
      </c>
      <c r="C21" s="29" t="n">
        <f aca="false">C20*Assumptions!$B$18</f>
        <v>144.746462690936</v>
      </c>
      <c r="D21" s="29" t="n">
        <f aca="false">D20*Assumptions!$B$18</f>
        <v>145.076902683741</v>
      </c>
      <c r="E21" s="29" t="n">
        <f aca="false">E20*Assumptions!$B$18</f>
        <v>145.976815862077</v>
      </c>
    </row>
    <row r="22" customFormat="false" ht="15" hidden="false" customHeight="false" outlineLevel="0" collapsed="false">
      <c r="A22" s="28" t="s">
        <v>106</v>
      </c>
    </row>
    <row r="23" customFormat="false" ht="15" hidden="false" customHeight="false" outlineLevel="0" collapsed="false">
      <c r="A23" s="11" t="s">
        <v>107</v>
      </c>
      <c r="B23" s="29" t="n">
        <f aca="false">B21+2*Assumptions!$B$17+2*Assumptions!$B$19</f>
        <v>161.195380273807</v>
      </c>
      <c r="C23" s="29" t="n">
        <f aca="false">C21+2*Assumptions!$B$17+2*Assumptions!$B$19</f>
        <v>161.746462690936</v>
      </c>
      <c r="D23" s="29" t="n">
        <f aca="false">D21+2*Assumptions!$B$17+2*Assumptions!$B$19</f>
        <v>162.076902683741</v>
      </c>
      <c r="E23" s="29" t="n">
        <f aca="false">E21+2*Assumptions!$B$17+2*Assumptions!$B$19</f>
        <v>162.976815862077</v>
      </c>
    </row>
    <row r="24" customFormat="false" ht="15" hidden="false" customHeight="false" outlineLevel="0" collapsed="false">
      <c r="A24" s="11" t="s">
        <v>108</v>
      </c>
      <c r="B24" s="29" t="n">
        <f aca="false">B20+2*Assumptions!$B$17+2*Assumptions!$B$19</f>
        <v>113.130253515871</v>
      </c>
      <c r="C24" s="29" t="n">
        <f aca="false">C20+2*Assumptions!$B$17+2*Assumptions!$B$19</f>
        <v>113.497641793957</v>
      </c>
      <c r="D24" s="29" t="n">
        <f aca="false">D20+2*Assumptions!$B$17+2*Assumptions!$B$19</f>
        <v>113.717935122494</v>
      </c>
      <c r="E24" s="29" t="n">
        <f aca="false">E20+2*Assumptions!$B$17+2*Assumptions!$B$19</f>
        <v>114.317877241385</v>
      </c>
    </row>
    <row r="25" customFormat="false" ht="15" hidden="false" customHeight="false" outlineLevel="0" collapsed="false">
      <c r="A25" s="11" t="s">
        <v>109</v>
      </c>
      <c r="B25" s="29" t="n">
        <f aca="false">B15+Assumptions!$B$21</f>
        <v>28</v>
      </c>
      <c r="C25" s="29" t="n">
        <f aca="false">C15+Assumptions!$B$21</f>
        <v>28</v>
      </c>
      <c r="D25" s="29" t="n">
        <f aca="false">D15+Assumptions!$B$21</f>
        <v>28</v>
      </c>
      <c r="E25" s="29" t="n">
        <f aca="false">E15+Assumptions!$B$21</f>
        <v>28</v>
      </c>
    </row>
    <row r="26" customFormat="false" ht="15" hidden="false" customHeight="false" outlineLevel="0" collapsed="false">
      <c r="A26" s="11" t="s">
        <v>110</v>
      </c>
      <c r="B26" s="12" t="n">
        <f aca="false">B23*B24*Assumptions!$B$19+2*(B23+B24)*B25*Assumptions!$B$19+B17</f>
        <v>98848.1743204623</v>
      </c>
      <c r="C26" s="12" t="n">
        <f aca="false">C23*C24*Assumptions!$B$19+2*(C23+C24)*C25*Assumptions!$B$19+C17</f>
        <v>99617.1798377237</v>
      </c>
      <c r="D26" s="12" t="n">
        <f aca="false">D23*D24*Assumptions!$B$19+2*(D23+D24)*D25*Assumptions!$B$19+D17</f>
        <v>99964.3040534841</v>
      </c>
      <c r="E26" s="12" t="n">
        <f aca="false">E23*E24*Assumptions!$B$19+2*(E23+E24)*E25*Assumptions!$B$19+E17</f>
        <v>100251.566106766</v>
      </c>
    </row>
    <row r="27" customFormat="false" ht="15" hidden="false" customHeight="false" outlineLevel="0" collapsed="false">
      <c r="A27" s="11" t="s">
        <v>111</v>
      </c>
      <c r="B27" s="29" t="n">
        <f aca="false">B23+2*(Assumptions!$B$22+0.5)</f>
        <v>166.195380273807</v>
      </c>
      <c r="C27" s="29" t="n">
        <f aca="false">C23+2*(Assumptions!$B$22+0.5)</f>
        <v>166.746462690936</v>
      </c>
      <c r="D27" s="29" t="n">
        <f aca="false">D23+2*(Assumptions!$B$22+0.5)</f>
        <v>167.076902683741</v>
      </c>
      <c r="E27" s="29" t="n">
        <f aca="false">E23+2*(Assumptions!$B$22+0.5)</f>
        <v>167.976815862077</v>
      </c>
    </row>
    <row r="28" customFormat="false" ht="15" hidden="false" customHeight="false" outlineLevel="0" collapsed="false">
      <c r="A28" s="11" t="s">
        <v>112</v>
      </c>
      <c r="B28" s="29" t="n">
        <f aca="false">B24+2*(Assumptions!$B$22+0.5)</f>
        <v>118.130253515871</v>
      </c>
      <c r="C28" s="29" t="n">
        <f aca="false">C24+2*(Assumptions!$B$22+0.5)</f>
        <v>118.497641793957</v>
      </c>
      <c r="D28" s="29" t="n">
        <f aca="false">D24+2*(Assumptions!$B$22+0.5)</f>
        <v>118.717935122494</v>
      </c>
      <c r="E28" s="29" t="n">
        <f aca="false">E24+2*(Assumptions!$B$22+0.5)</f>
        <v>119.317877241385</v>
      </c>
    </row>
    <row r="29" customFormat="false" ht="15" hidden="false" customHeight="false" outlineLevel="0" collapsed="false">
      <c r="A29" s="11" t="s">
        <v>113</v>
      </c>
      <c r="B29" s="29" t="n">
        <f aca="false">Assumptions!$B$23+Assumptions!$B$24</f>
        <v>14</v>
      </c>
      <c r="C29" s="29" t="n">
        <f aca="false">Assumptions!$B$23+Assumptions!$B$24</f>
        <v>14</v>
      </c>
      <c r="D29" s="29" t="n">
        <f aca="false">Assumptions!$B$23+Assumptions!$B$24</f>
        <v>14</v>
      </c>
      <c r="E29" s="29" t="n">
        <f aca="false">Assumptions!$B$23+Assumptions!$B$24</f>
        <v>14</v>
      </c>
    </row>
    <row r="30" customFormat="false" ht="15" hidden="false" customHeight="false" outlineLevel="0" collapsed="false">
      <c r="A30" s="11" t="s">
        <v>114</v>
      </c>
      <c r="B30" s="29" t="n">
        <f aca="false">MAX(Assumptions!$B$25,B16+Assumptions!$B$24)</f>
        <v>28</v>
      </c>
      <c r="C30" s="29" t="n">
        <f aca="false">MAX(Assumptions!$B$25,C16+Assumptions!$B$24)</f>
        <v>28</v>
      </c>
      <c r="D30" s="29" t="n">
        <f aca="false">MAX(Assumptions!$B$25,D16+Assumptions!$B$24)</f>
        <v>28</v>
      </c>
      <c r="E30" s="29" t="n">
        <f aca="false">MAX(Assumptions!$B$25,E16+Assumptions!$B$24)</f>
        <v>28</v>
      </c>
    </row>
    <row r="31" customFormat="false" ht="15" hidden="false" customHeight="false" outlineLevel="0" collapsed="false">
      <c r="A31" s="11" t="s">
        <v>115</v>
      </c>
      <c r="B31" s="12" t="n">
        <f aca="false">B27*B28*Assumptions!$B$22+2*(B27+B28)*B29*Assumptions!$B$22</f>
        <v>55187.6403020447</v>
      </c>
      <c r="C31" s="12" t="n">
        <f aca="false">C27*C28*Assumptions!$B$22+2*(C27+C28)*C29*Assumptions!$B$22</f>
        <v>55491.7950638739</v>
      </c>
      <c r="D31" s="12" t="n">
        <f aca="false">D27*D28*Assumptions!$B$22+2*(D27+D28)*D29*Assumptions!$B$22</f>
        <v>55674.5607037005</v>
      </c>
      <c r="E31" s="12" t="n">
        <f aca="false">E27*E28*Assumptions!$B$22+2*(E27+E28)*E29*Assumptions!$B$22</f>
        <v>56173.7770026539</v>
      </c>
    </row>
    <row r="32" customFormat="false" ht="15" hidden="false" customHeight="false" outlineLevel="0" collapsed="false">
      <c r="A32" s="11" t="s">
        <v>116</v>
      </c>
      <c r="B32" s="12" t="n">
        <f aca="false">B27*B28*Assumptions!$B$22+2*(B27+B28)*B30*Assumptions!$B$22</f>
        <v>71109.8757942666</v>
      </c>
      <c r="C32" s="12" t="n">
        <f aca="false">C27*C28*Assumptions!$B$22+2*(C27+C28)*C30*Assumptions!$B$22</f>
        <v>71465.4649150279</v>
      </c>
      <c r="D32" s="12" t="n">
        <f aca="false">D27*D28*Assumptions!$B$22+2*(D27+D28)*D30*Assumptions!$B$22</f>
        <v>71679.0716208496</v>
      </c>
      <c r="E32" s="12" t="n">
        <f aca="false">E27*E28*Assumptions!$B$22+2*(E27+E28)*E30*Assumptions!$B$22</f>
        <v>72262.2798164478</v>
      </c>
    </row>
    <row r="33" customFormat="false" ht="15" hidden="false" customHeight="false" outlineLevel="0" collapsed="false">
      <c r="A33" s="28" t="s">
        <v>34</v>
      </c>
    </row>
    <row r="34" customFormat="false" ht="15" hidden="false" customHeight="false" outlineLevel="0" collapsed="false">
      <c r="A34" s="11" t="s">
        <v>42</v>
      </c>
      <c r="B34" s="29" t="n">
        <f aca="false">B26/1000*INDEX(Assumptions!$B$29:$B$31,MATCH(Estimator!$B$18,Assumptions!$A$29:$A$31,0))</f>
        <v>134.433517075829</v>
      </c>
      <c r="C34" s="29" t="n">
        <f aca="false">C26/1000*INDEX(Assumptions!$B$29:$B$31,MATCH(Estimator!$B$18,Assumptions!$A$29:$A$31,0))</f>
        <v>135.479364579304</v>
      </c>
      <c r="D34" s="29" t="n">
        <f aca="false">D26/1000*INDEX(Assumptions!$B$29:$B$31,MATCH(Estimator!$B$18,Assumptions!$A$29:$A$31,0))</f>
        <v>135.951453512738</v>
      </c>
      <c r="E34" s="29" t="n">
        <f aca="false">E26/1000*INDEX(Assumptions!$B$29:$B$31,MATCH(Estimator!$B$18,Assumptions!$A$29:$A$31,0))</f>
        <v>136.342129905202</v>
      </c>
    </row>
    <row r="35" customFormat="false" ht="15" hidden="false" customHeight="false" outlineLevel="0" collapsed="false">
      <c r="A35" s="11" t="s">
        <v>117</v>
      </c>
      <c r="B35" s="14" t="n">
        <f aca="false">B34/1000*(1+Assumptions!$B$34)*INDEX(Assumptions!$C$29:$C$31,MATCH(Estimator!$B$18,Assumptions!$A$29:$A$31,0))</f>
        <v>0.551715154079201</v>
      </c>
      <c r="C35" s="14" t="n">
        <f aca="false">C34/1000*(1+Assumptions!$B$34)*INDEX(Assumptions!$C$29:$C$31,MATCH(Estimator!$B$18,Assumptions!$A$29:$A$31,0))</f>
        <v>0.556007312233465</v>
      </c>
      <c r="D35" s="14" t="n">
        <f aca="false">D34/1000*(1+Assumptions!$B$34)*INDEX(Assumptions!$C$29:$C$31,MATCH(Estimator!$B$18,Assumptions!$A$29:$A$31,0))</f>
        <v>0.557944765216278</v>
      </c>
      <c r="E35" s="14" t="n">
        <f aca="false">E34/1000*(1+Assumptions!$B$34)*INDEX(Assumptions!$C$29:$C$31,MATCH(Estimator!$B$18,Assumptions!$A$29:$A$31,0))</f>
        <v>0.55954810113095</v>
      </c>
    </row>
    <row r="36" customFormat="false" ht="15" hidden="false" customHeight="false" outlineLevel="0" collapsed="false">
      <c r="A36" s="11" t="s">
        <v>118</v>
      </c>
      <c r="B36" s="12" t="n">
        <f aca="false">B23*B24/645.16*Assumptions!$B$37*Estimator!$B$17</f>
        <v>197.861801183801</v>
      </c>
      <c r="C36" s="12" t="n">
        <f aca="false">C23*C24/645.16*Assumptions!$B$37*Estimator!$B$17</f>
        <v>199.18298497667</v>
      </c>
      <c r="D36" s="12" t="n">
        <f aca="false">D23*D24/645.16*Assumptions!$B$37*Estimator!$B$17</f>
        <v>199.977300095653</v>
      </c>
      <c r="E36" s="12" t="n">
        <f aca="false">E23*E24/645.16*Assumptions!$B$37*Estimator!$B$17</f>
        <v>202.148529670762</v>
      </c>
    </row>
    <row r="37" customFormat="false" ht="15" hidden="false" customHeight="false" outlineLevel="0" collapsed="false">
      <c r="A37" s="11" t="s">
        <v>45</v>
      </c>
      <c r="B37" s="29" t="n">
        <f aca="false">Assumptions!$B$35+Assumptions!$B$36*Assumptions!$B$19^2</f>
        <v>24.5</v>
      </c>
      <c r="C37" s="29" t="n">
        <f aca="false">Assumptions!$B$35+Assumptions!$B$36*Assumptions!$B$19^2</f>
        <v>24.5</v>
      </c>
      <c r="D37" s="29" t="n">
        <f aca="false">Assumptions!$B$35+Assumptions!$B$36*Assumptions!$B$19^2</f>
        <v>24.5</v>
      </c>
      <c r="E37" s="29" t="n">
        <f aca="false">Assumptions!$B$35+Assumptions!$B$36*Assumptions!$B$19^2</f>
        <v>24.5</v>
      </c>
    </row>
    <row r="38" customFormat="false" ht="15" hidden="false" customHeight="false" outlineLevel="0" collapsed="false">
      <c r="A38" s="11" t="s">
        <v>119</v>
      </c>
      <c r="B38" s="30" t="n">
        <f aca="false">IF(B36&lt;300,Assumptions!$B$38,IF(B36&lt;500,Assumptions!$B$39,IF(B36&lt;800,Assumptions!$B$40,Assumptions!$B$41)))</f>
        <v>45</v>
      </c>
      <c r="C38" s="30" t="n">
        <f aca="false">IF(C36&lt;300,Assumptions!$B$38,IF(C36&lt;500,Assumptions!$B$39,IF(C36&lt;800,Assumptions!$B$40,Assumptions!$B$41)))</f>
        <v>45</v>
      </c>
      <c r="D38" s="30" t="n">
        <f aca="false">IF(D36&lt;300,Assumptions!$B$38,IF(D36&lt;500,Assumptions!$B$39,IF(D36&lt;800,Assumptions!$B$40,Assumptions!$B$41)))</f>
        <v>45</v>
      </c>
      <c r="E38" s="30" t="n">
        <f aca="false">IF(E36&lt;300,Assumptions!$B$38,IF(E36&lt;500,Assumptions!$B$39,IF(E36&lt;800,Assumptions!$B$40,Assumptions!$B$41)))</f>
        <v>45</v>
      </c>
    </row>
    <row r="39" customFormat="false" ht="15" hidden="false" customHeight="false" outlineLevel="0" collapsed="false">
      <c r="A39" s="11" t="s">
        <v>120</v>
      </c>
      <c r="B39" s="14" t="n">
        <f aca="false">B38/3600*B37/Estimator!$B$17</f>
        <v>0.153125</v>
      </c>
      <c r="C39" s="14" t="n">
        <f aca="false">C38/3600*C37/Estimator!$B$17</f>
        <v>0.153125</v>
      </c>
      <c r="D39" s="14" t="n">
        <f aca="false">D38/3600*D37/Estimator!$B$17</f>
        <v>0.153125</v>
      </c>
      <c r="E39" s="14" t="n">
        <f aca="false">E38/3600*E37/Estimator!$B$17</f>
        <v>0.153125</v>
      </c>
    </row>
    <row r="40" customFormat="false" ht="15" hidden="false" customHeight="false" outlineLevel="0" collapsed="false">
      <c r="A40" s="11" t="s">
        <v>121</v>
      </c>
      <c r="B40" s="31" t="n">
        <f aca="false">B35+B39</f>
        <v>0.704840154079201</v>
      </c>
      <c r="C40" s="31" t="n">
        <f aca="false">C35+C39</f>
        <v>0.709132312233465</v>
      </c>
      <c r="D40" s="31" t="n">
        <f aca="false">D35+D39</f>
        <v>0.711069765216278</v>
      </c>
      <c r="E40" s="31" t="n">
        <f aca="false">E35+E39</f>
        <v>0.71267310113095</v>
      </c>
    </row>
    <row r="41" customFormat="false" ht="15" hidden="false" customHeight="false" outlineLevel="0" collapsed="false">
      <c r="A41" s="28" t="s">
        <v>35</v>
      </c>
    </row>
    <row r="42" customFormat="false" ht="15" hidden="false" customHeight="false" outlineLevel="0" collapsed="false">
      <c r="A42" s="11" t="s">
        <v>42</v>
      </c>
      <c r="B42" s="29" t="n">
        <f aca="false">B31/1000*INDEX(Assumptions!$B$29:$B$31,MATCH(Estimator!$B$19,Assumptions!$A$29:$A$31,0))</f>
        <v>75.0551908107808</v>
      </c>
      <c r="C42" s="29" t="n">
        <f aca="false">C31/1000*INDEX(Assumptions!$B$29:$B$31,MATCH(Estimator!$B$19,Assumptions!$A$29:$A$31,0))</f>
        <v>75.4688412868685</v>
      </c>
      <c r="D42" s="29" t="n">
        <f aca="false">D31/1000*INDEX(Assumptions!$B$29:$B$31,MATCH(Estimator!$B$19,Assumptions!$A$29:$A$31,0))</f>
        <v>75.7174025570326</v>
      </c>
      <c r="E42" s="29" t="n">
        <f aca="false">E31/1000*INDEX(Assumptions!$B$29:$B$31,MATCH(Estimator!$B$19,Assumptions!$A$29:$A$31,0))</f>
        <v>76.3963367236093</v>
      </c>
    </row>
    <row r="43" customFormat="false" ht="15" hidden="false" customHeight="false" outlineLevel="0" collapsed="false">
      <c r="A43" s="11" t="s">
        <v>117</v>
      </c>
      <c r="B43" s="14" t="n">
        <f aca="false">B42/1000*(1+Assumptions!$B$34)*INDEX(Assumptions!$C$29:$C$31,MATCH(Estimator!$B$19,Assumptions!$A$29:$A$31,0))</f>
        <v>0.308026503087444</v>
      </c>
      <c r="C43" s="14" t="n">
        <f aca="false">C42/1000*(1+Assumptions!$B$34)*INDEX(Assumptions!$C$29:$C$31,MATCH(Estimator!$B$19,Assumptions!$A$29:$A$31,0))</f>
        <v>0.309724124641308</v>
      </c>
      <c r="D43" s="14" t="n">
        <f aca="false">D42/1000*(1+Assumptions!$B$34)*INDEX(Assumptions!$C$29:$C$31,MATCH(Estimator!$B$19,Assumptions!$A$29:$A$31,0))</f>
        <v>0.310744220094062</v>
      </c>
      <c r="E43" s="14" t="n">
        <f aca="false">E42/1000*(1+Assumptions!$B$34)*INDEX(Assumptions!$C$29:$C$31,MATCH(Estimator!$B$19,Assumptions!$A$29:$A$31,0))</f>
        <v>0.313530565913693</v>
      </c>
    </row>
    <row r="44" customFormat="false" ht="15" hidden="false" customHeight="false" outlineLevel="0" collapsed="false">
      <c r="A44" s="11" t="s">
        <v>118</v>
      </c>
      <c r="B44" s="12" t="n">
        <f aca="false">B27*B28/645.16*Assumptions!$B$37*Estimator!$B$17</f>
        <v>213.015247123783</v>
      </c>
      <c r="C44" s="12" t="n">
        <f aca="false">C27*C28/645.16*Assumptions!$B$37*Estimator!$B$17</f>
        <v>214.386258051522</v>
      </c>
      <c r="D44" s="12" t="n">
        <f aca="false">D27*D28/645.16*Assumptions!$B$37*Estimator!$B$17</f>
        <v>215.210450512942</v>
      </c>
      <c r="E44" s="12" t="n">
        <f aca="false">E27*E28/645.16*Assumptions!$B$37*Estimator!$B$17</f>
        <v>217.46304740066</v>
      </c>
    </row>
    <row r="45" customFormat="false" ht="15" hidden="false" customHeight="false" outlineLevel="0" collapsed="false">
      <c r="A45" s="11" t="s">
        <v>45</v>
      </c>
      <c r="B45" s="29" t="n">
        <f aca="false">Assumptions!$B$35+Assumptions!$B$36*Assumptions!$B$22^2</f>
        <v>20</v>
      </c>
      <c r="C45" s="29" t="n">
        <f aca="false">Assumptions!$B$35+Assumptions!$B$36*Assumptions!$B$22^2</f>
        <v>20</v>
      </c>
      <c r="D45" s="29" t="n">
        <f aca="false">Assumptions!$B$35+Assumptions!$B$36*Assumptions!$B$22^2</f>
        <v>20</v>
      </c>
      <c r="E45" s="29" t="n">
        <f aca="false">Assumptions!$B$35+Assumptions!$B$36*Assumptions!$B$22^2</f>
        <v>20</v>
      </c>
    </row>
    <row r="46" customFormat="false" ht="15" hidden="false" customHeight="false" outlineLevel="0" collapsed="false">
      <c r="A46" s="11" t="s">
        <v>119</v>
      </c>
      <c r="B46" s="30" t="n">
        <f aca="false">IF(B44&lt;300,Assumptions!$B$38,IF(B44&lt;500,Assumptions!$B$39,IF(B44&lt;800,Assumptions!$B$40,Assumptions!$B$41)))</f>
        <v>45</v>
      </c>
      <c r="C46" s="30" t="n">
        <f aca="false">IF(C44&lt;300,Assumptions!$B$38,IF(C44&lt;500,Assumptions!$B$39,IF(C44&lt;800,Assumptions!$B$40,Assumptions!$B$41)))</f>
        <v>45</v>
      </c>
      <c r="D46" s="30" t="n">
        <f aca="false">IF(D44&lt;300,Assumptions!$B$38,IF(D44&lt;500,Assumptions!$B$39,IF(D44&lt;800,Assumptions!$B$40,Assumptions!$B$41)))</f>
        <v>45</v>
      </c>
      <c r="E46" s="30" t="n">
        <f aca="false">IF(E44&lt;300,Assumptions!$B$38,IF(E44&lt;500,Assumptions!$B$39,IF(E44&lt;800,Assumptions!$B$40,Assumptions!$B$41)))</f>
        <v>45</v>
      </c>
    </row>
    <row r="47" customFormat="false" ht="15" hidden="false" customHeight="false" outlineLevel="0" collapsed="false">
      <c r="A47" s="11" t="s">
        <v>120</v>
      </c>
      <c r="B47" s="14" t="n">
        <f aca="false">B46/3600*B45/Estimator!$B$17</f>
        <v>0.125</v>
      </c>
      <c r="C47" s="14" t="n">
        <f aca="false">C46/3600*C45/Estimator!$B$17</f>
        <v>0.125</v>
      </c>
      <c r="D47" s="14" t="n">
        <f aca="false">D46/3600*D45/Estimator!$B$17</f>
        <v>0.125</v>
      </c>
      <c r="E47" s="14" t="n">
        <f aca="false">E46/3600*E45/Estimator!$B$17</f>
        <v>0.125</v>
      </c>
    </row>
    <row r="48" customFormat="false" ht="15" hidden="false" customHeight="false" outlineLevel="0" collapsed="false">
      <c r="A48" s="11" t="s">
        <v>121</v>
      </c>
      <c r="B48" s="31" t="n">
        <f aca="false">B43+B47</f>
        <v>0.433026503087444</v>
      </c>
      <c r="C48" s="31" t="n">
        <f aca="false">C43+C47</f>
        <v>0.434724124641308</v>
      </c>
      <c r="D48" s="31" t="n">
        <f aca="false">D43+D47</f>
        <v>0.435744220094062</v>
      </c>
      <c r="E48" s="31" t="n">
        <f aca="false">E43+E47</f>
        <v>0.438530565913693</v>
      </c>
    </row>
    <row r="49" customFormat="false" ht="15" hidden="false" customHeight="false" outlineLevel="0" collapsed="false">
      <c r="A49" s="28" t="s">
        <v>36</v>
      </c>
    </row>
    <row r="50" customFormat="false" ht="15" hidden="false" customHeight="false" outlineLevel="0" collapsed="false">
      <c r="A50" s="11" t="s">
        <v>42</v>
      </c>
      <c r="B50" s="29" t="n">
        <f aca="false">B32/1000*INDEX(Assumptions!$B$29:$B$31,MATCH(Estimator!$B$20,Assumptions!$A$29:$A$31,0))</f>
        <v>96.7094310802026</v>
      </c>
      <c r="C50" s="29" t="n">
        <f aca="false">C32/1000*INDEX(Assumptions!$B$29:$B$31,MATCH(Estimator!$B$20,Assumptions!$A$29:$A$31,0))</f>
        <v>97.193032284438</v>
      </c>
      <c r="D50" s="29" t="n">
        <f aca="false">D32/1000*INDEX(Assumptions!$B$29:$B$31,MATCH(Estimator!$B$20,Assumptions!$A$29:$A$31,0))</f>
        <v>97.4835374043555</v>
      </c>
      <c r="E50" s="29" t="n">
        <f aca="false">E32/1000*INDEX(Assumptions!$B$29:$B$31,MATCH(Estimator!$B$20,Assumptions!$A$29:$A$31,0))</f>
        <v>98.276700550369</v>
      </c>
    </row>
    <row r="51" customFormat="false" ht="15" hidden="false" customHeight="false" outlineLevel="0" collapsed="false">
      <c r="A51" s="11" t="s">
        <v>117</v>
      </c>
      <c r="B51" s="14" t="n">
        <f aca="false">B50/1000*(1+Assumptions!$B$34)*INDEX(Assumptions!$C$29:$C$31,MATCH(Estimator!$B$20,Assumptions!$A$29:$A$31,0))</f>
        <v>0.396895505153152</v>
      </c>
      <c r="C51" s="14" t="n">
        <f aca="false">C50/1000*(1+Assumptions!$B$34)*INDEX(Assumptions!$C$29:$C$31,MATCH(Estimator!$B$20,Assumptions!$A$29:$A$31,0))</f>
        <v>0.398880204495333</v>
      </c>
      <c r="D51" s="14" t="n">
        <f aca="false">D50/1000*(1+Assumptions!$B$34)*INDEX(Assumptions!$C$29:$C$31,MATCH(Estimator!$B$20,Assumptions!$A$29:$A$31,0))</f>
        <v>0.400072437507475</v>
      </c>
      <c r="E51" s="14" t="n">
        <f aca="false">E50/1000*(1+Assumptions!$B$34)*INDEX(Assumptions!$C$29:$C$31,MATCH(Estimator!$B$20,Assumptions!$A$29:$A$31,0))</f>
        <v>0.403327579058714</v>
      </c>
    </row>
    <row r="52" customFormat="false" ht="15" hidden="false" customHeight="false" outlineLevel="0" collapsed="false">
      <c r="A52" s="11" t="s">
        <v>118</v>
      </c>
      <c r="B52" s="12" t="n">
        <f aca="false">B27*B28/645.16*Assumptions!$B$37*Estimator!$B$17</f>
        <v>213.015247123783</v>
      </c>
      <c r="C52" s="12" t="n">
        <f aca="false">C27*C28/645.16*Assumptions!$B$37*Estimator!$B$17</f>
        <v>214.386258051522</v>
      </c>
      <c r="D52" s="12" t="n">
        <f aca="false">D27*D28/645.16*Assumptions!$B$37*Estimator!$B$17</f>
        <v>215.210450512942</v>
      </c>
      <c r="E52" s="12" t="n">
        <f aca="false">E27*E28/645.16*Assumptions!$B$37*Estimator!$B$17</f>
        <v>217.46304740066</v>
      </c>
    </row>
    <row r="53" customFormat="false" ht="15" hidden="false" customHeight="false" outlineLevel="0" collapsed="false">
      <c r="A53" s="11" t="s">
        <v>45</v>
      </c>
      <c r="B53" s="29" t="n">
        <f aca="false">Assumptions!$B$35+Assumptions!$B$36*Assumptions!$B$22^2</f>
        <v>20</v>
      </c>
      <c r="C53" s="29" t="n">
        <f aca="false">Assumptions!$B$35+Assumptions!$B$36*Assumptions!$B$22^2</f>
        <v>20</v>
      </c>
      <c r="D53" s="29" t="n">
        <f aca="false">Assumptions!$B$35+Assumptions!$B$36*Assumptions!$B$22^2</f>
        <v>20</v>
      </c>
      <c r="E53" s="29" t="n">
        <f aca="false">Assumptions!$B$35+Assumptions!$B$36*Assumptions!$B$22^2</f>
        <v>20</v>
      </c>
    </row>
    <row r="54" customFormat="false" ht="15" hidden="false" customHeight="false" outlineLevel="0" collapsed="false">
      <c r="A54" s="11" t="s">
        <v>119</v>
      </c>
      <c r="B54" s="30" t="n">
        <f aca="false">IF(B52&lt;300,Assumptions!$B$38,IF(B52&lt;500,Assumptions!$B$39,IF(B52&lt;800,Assumptions!$B$40,Assumptions!$B$41)))</f>
        <v>45</v>
      </c>
      <c r="C54" s="30" t="n">
        <f aca="false">IF(C52&lt;300,Assumptions!$B$38,IF(C52&lt;500,Assumptions!$B$39,IF(C52&lt;800,Assumptions!$B$40,Assumptions!$B$41)))</f>
        <v>45</v>
      </c>
      <c r="D54" s="30" t="n">
        <f aca="false">IF(D52&lt;300,Assumptions!$B$38,IF(D52&lt;500,Assumptions!$B$39,IF(D52&lt;800,Assumptions!$B$40,Assumptions!$B$41)))</f>
        <v>45</v>
      </c>
      <c r="E54" s="30" t="n">
        <f aca="false">IF(E52&lt;300,Assumptions!$B$38,IF(E52&lt;500,Assumptions!$B$39,IF(E52&lt;800,Assumptions!$B$40,Assumptions!$B$41)))</f>
        <v>45</v>
      </c>
    </row>
    <row r="55" customFormat="false" ht="15" hidden="false" customHeight="false" outlineLevel="0" collapsed="false">
      <c r="A55" s="11" t="s">
        <v>120</v>
      </c>
      <c r="B55" s="14" t="n">
        <f aca="false">B54/3600*B53/Estimator!$B$17</f>
        <v>0.125</v>
      </c>
      <c r="C55" s="14" t="n">
        <f aca="false">C54/3600*C53/Estimator!$B$17</f>
        <v>0.125</v>
      </c>
      <c r="D55" s="14" t="n">
        <f aca="false">D54/3600*D53/Estimator!$B$17</f>
        <v>0.125</v>
      </c>
      <c r="E55" s="14" t="n">
        <f aca="false">E54/3600*E53/Estimator!$B$17</f>
        <v>0.125</v>
      </c>
    </row>
    <row r="56" customFormat="false" ht="15" hidden="false" customHeight="false" outlineLevel="0" collapsed="false">
      <c r="A56" s="11" t="s">
        <v>121</v>
      </c>
      <c r="B56" s="31" t="n">
        <f aca="false">B51+B55</f>
        <v>0.521895505153152</v>
      </c>
      <c r="C56" s="31" t="n">
        <f aca="false">C51+C55</f>
        <v>0.523880204495333</v>
      </c>
      <c r="D56" s="31" t="n">
        <f aca="false">D51+D55</f>
        <v>0.525072437507475</v>
      </c>
      <c r="E56" s="31" t="n">
        <f aca="false">E51+E55</f>
        <v>0.528327579058714</v>
      </c>
    </row>
    <row r="57" customFormat="false" ht="15" hidden="false" customHeight="false" outlineLevel="0" collapsed="false">
      <c r="A57" s="28" t="s">
        <v>122</v>
      </c>
    </row>
    <row r="58" customFormat="false" ht="15" hidden="false" customHeight="false" outlineLevel="0" collapsed="false">
      <c r="A58" s="7" t="s">
        <v>123</v>
      </c>
      <c r="B58" s="32" t="n">
        <f aca="false">B40+B48+B56</f>
        <v>1.6597621623198</v>
      </c>
      <c r="C58" s="32" t="n">
        <f aca="false">C40+C48+C56</f>
        <v>1.66773664137011</v>
      </c>
      <c r="D58" s="32" t="n">
        <f aca="false">D40+D48+D56</f>
        <v>1.67188642281782</v>
      </c>
      <c r="E58" s="32" t="n">
        <f aca="false">E40+E48+E56</f>
        <v>1.67953124610336</v>
      </c>
    </row>
    <row r="59" customFormat="false" ht="15" hidden="false" customHeight="false" outlineLevel="0" collapsed="false">
      <c r="A59" s="7" t="s">
        <v>9</v>
      </c>
      <c r="B59" s="33" t="n">
        <f aca="false">B34+B42+B50</f>
        <v>306.198138966812</v>
      </c>
      <c r="C59" s="33" t="n">
        <f aca="false">C34+C42+C50</f>
        <v>308.141238150611</v>
      </c>
      <c r="D59" s="33" t="n">
        <f aca="false">D34+D42+D50</f>
        <v>309.152393474127</v>
      </c>
      <c r="E59" s="33" t="n">
        <f aca="false">E34+E42+E50</f>
        <v>311.015167179181</v>
      </c>
    </row>
    <row r="60" customFormat="false" ht="15" hidden="false" customHeight="false" outlineLevel="0" collapsed="false">
      <c r="A60" s="7" t="s">
        <v>15</v>
      </c>
      <c r="B60" s="33" t="n">
        <f aca="false">B25+B29+B30</f>
        <v>70</v>
      </c>
      <c r="C60" s="33" t="n">
        <f aca="false">C25+C29+C30</f>
        <v>70</v>
      </c>
      <c r="D60" s="33" t="n">
        <f aca="false">D25+D29+D30</f>
        <v>70</v>
      </c>
      <c r="E60" s="33" t="n">
        <f aca="false">E25+E29+E30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2026-10-06T15:14:52Z</dcterms:created>
  <dc:creator>openpyxl</dc:creator>
  <dc:description/>
  <dc:language>en-US</dc:language>
  <cp:lastModifiedBy/>
  <dcterms:modified xsi:type="dcterms:W3CDTF">2026-10-06T15:14:52Z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