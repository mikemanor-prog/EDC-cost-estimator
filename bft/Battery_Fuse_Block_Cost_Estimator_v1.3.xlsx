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yazaki-my.sharepoint.com/personal/michael_manor_us_yazaki_com/Documents/HomeFolderMigration/__EI/Quote-tools/"/>
    </mc:Choice>
  </mc:AlternateContent>
  <xr:revisionPtr revIDLastSave="0" documentId="8_{F61D8263-E56C-45F7-AFCF-B38A8003236B}" xr6:coauthVersionLast="47" xr6:coauthVersionMax="47" xr10:uidLastSave="{00000000-0000-0000-0000-000000000000}"/>
  <bookViews>
    <workbookView xWindow="-108" yWindow="13236" windowWidth="23256" windowHeight="13896" tabRatio="500" activeTab="2" xr2:uid="{00000000-000D-0000-FFFF-FFFF00000000}"/>
  </bookViews>
  <sheets>
    <sheet name="Estimator" sheetId="1" r:id="rId1"/>
    <sheet name="Assumptions" sheetId="2" r:id="rId2"/>
    <sheet name="Assumption Diagram" sheetId="3" r:id="rId3"/>
    <sheet name="Fuse Libr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2" l="1"/>
  <c r="F32" i="2"/>
  <c r="F31" i="2"/>
  <c r="B73" i="1"/>
  <c r="B80" i="1" s="1"/>
  <c r="E64" i="1"/>
  <c r="B64" i="1"/>
  <c r="E63" i="1"/>
  <c r="E62" i="1"/>
  <c r="B35" i="1"/>
  <c r="B26" i="1"/>
  <c r="B25" i="1"/>
  <c r="B24" i="1"/>
  <c r="B21" i="1"/>
  <c r="B33" i="1" s="1"/>
  <c r="P20" i="1"/>
  <c r="O20" i="1"/>
  <c r="K20" i="1"/>
  <c r="G20" i="1"/>
  <c r="F20" i="1"/>
  <c r="J20" i="1" s="1"/>
  <c r="E20" i="1"/>
  <c r="D20" i="1"/>
  <c r="M20" i="1" s="1"/>
  <c r="C20" i="1"/>
  <c r="N20" i="1" s="1"/>
  <c r="P19" i="1"/>
  <c r="O19" i="1"/>
  <c r="N19" i="1"/>
  <c r="M19" i="1"/>
  <c r="K19" i="1"/>
  <c r="J19" i="1"/>
  <c r="L19" i="1" s="1"/>
  <c r="I19" i="1"/>
  <c r="G19" i="1"/>
  <c r="F19" i="1"/>
  <c r="E19" i="1"/>
  <c r="D19" i="1"/>
  <c r="C19" i="1"/>
  <c r="H19" i="1" s="1"/>
  <c r="K18" i="1"/>
  <c r="G18" i="1"/>
  <c r="L18" i="1" s="1"/>
  <c r="F18" i="1"/>
  <c r="J18" i="1" s="1"/>
  <c r="E18" i="1"/>
  <c r="D18" i="1"/>
  <c r="M18" i="1" s="1"/>
  <c r="C18" i="1"/>
  <c r="N18" i="1" s="1"/>
  <c r="B52" i="1" s="1"/>
  <c r="B51" i="1" l="1"/>
  <c r="B41" i="1"/>
  <c r="L20" i="1"/>
  <c r="B37" i="1" s="1"/>
  <c r="P18" i="1"/>
  <c r="I18" i="1"/>
  <c r="B27" i="1" s="1"/>
  <c r="B29" i="1" s="1"/>
  <c r="E10" i="1" s="1"/>
  <c r="O18" i="1"/>
  <c r="B70" i="1" s="1"/>
  <c r="B79" i="1" s="1"/>
  <c r="I20" i="1"/>
  <c r="H20" i="1" s="1"/>
  <c r="B40" i="1" l="1"/>
  <c r="B39" i="1"/>
  <c r="H18" i="1"/>
  <c r="B34" i="1" s="1"/>
  <c r="B36" i="1" s="1"/>
  <c r="B38" i="1"/>
  <c r="B55" i="1" s="1"/>
  <c r="B72" i="1"/>
  <c r="B82" i="1" s="1"/>
  <c r="B71" i="1"/>
  <c r="B81" i="1" s="1"/>
  <c r="B28" i="1"/>
  <c r="B30" i="1" l="1"/>
  <c r="E9" i="1"/>
  <c r="B44" i="1"/>
  <c r="B45" i="1" s="1"/>
  <c r="B47" i="1" s="1"/>
  <c r="E66" i="1"/>
  <c r="E65" i="1"/>
  <c r="B54" i="1"/>
  <c r="E6" i="1"/>
  <c r="B53" i="1"/>
  <c r="B56" i="1" s="1"/>
  <c r="B57" i="1" s="1"/>
  <c r="B58" i="1" s="1"/>
  <c r="B59" i="1" l="1"/>
  <c r="B76" i="1" s="1"/>
  <c r="E11" i="1"/>
  <c r="B63" i="1"/>
  <c r="B62" i="1"/>
  <c r="B48" i="1"/>
  <c r="B78" i="1" s="1"/>
  <c r="E8" i="1"/>
  <c r="B65" i="1" l="1"/>
  <c r="B66" i="1" s="1"/>
  <c r="B67" i="1" l="1"/>
  <c r="B77" i="1" s="1"/>
  <c r="B83" i="1" s="1"/>
  <c r="B85" i="1"/>
  <c r="E7" i="1" s="1"/>
  <c r="B84" i="1" l="1"/>
  <c r="E5" i="1"/>
</calcChain>
</file>

<file path=xl/sharedStrings.xml><?xml version="1.0" encoding="utf-8"?>
<sst xmlns="http://schemas.openxmlformats.org/spreadsheetml/2006/main" count="294" uniqueCount="222">
  <si>
    <t>Battery Fuse Block Cost Estimator</t>
  </si>
  <si>
    <t>Blue text on yellow = input. Placeholder assumptions live on the Assumptions sheet. Dimensions in mm, mass in g, cost in $. Example values are filled in.</t>
  </si>
  <si>
    <t>INPUTS</t>
  </si>
  <si>
    <t>RESULT</t>
  </si>
  <si>
    <t>System voltage</t>
  </si>
  <si>
    <t>V</t>
  </si>
  <si>
    <t>Part cost ($)</t>
  </si>
  <si>
    <t>Expected load on B+ input</t>
  </si>
  <si>
    <t>A</t>
  </si>
  <si>
    <t>Base L x W x H (mm)</t>
  </si>
  <si>
    <t>Copper thickness</t>
  </si>
  <si>
    <t>mm (0.8 to 5.0)</t>
  </si>
  <si>
    <t>Plastic mass (g)</t>
  </si>
  <si>
    <t>Plastic price (PA66-GF30)</t>
  </si>
  <si>
    <t>$/kg</t>
  </si>
  <si>
    <t>Copper mass (g)</t>
  </si>
  <si>
    <t>Copper price</t>
  </si>
  <si>
    <t>Bus width (mm)</t>
  </si>
  <si>
    <t>B+ stud size</t>
  </si>
  <si>
    <t>M8</t>
  </si>
  <si>
    <t>M8, M6 or M5</t>
  </si>
  <si>
    <t>Bus width set by</t>
  </si>
  <si>
    <t>B+ studs under the cover</t>
  </si>
  <si>
    <t>count</t>
  </si>
  <si>
    <t>Cover L x W (mm)</t>
  </si>
  <si>
    <t>B+ connection and cover exit</t>
  </si>
  <si>
    <t>Eyelet 90 degree</t>
  </si>
  <si>
    <t>see list</t>
  </si>
  <si>
    <t>Bolt retention method</t>
  </si>
  <si>
    <t>Over-molded</t>
  </si>
  <si>
    <t>list</t>
  </si>
  <si>
    <t>Busbar to bolt joining method</t>
  </si>
  <si>
    <t>Bolted both sides</t>
  </si>
  <si>
    <t>FUSES</t>
  </si>
  <si>
    <t>Fuse type</t>
  </si>
  <si>
    <t>Qty</t>
  </si>
  <si>
    <t>Bolt</t>
  </si>
  <si>
    <t>Hole pitch</t>
  </si>
  <si>
    <t>Body width</t>
  </si>
  <si>
    <t>Tab thk</t>
  </si>
  <si>
    <t>Fuse height</t>
  </si>
  <si>
    <t>Slot width</t>
  </si>
  <si>
    <t>Min bus width</t>
  </si>
  <si>
    <t>Stack height</t>
  </si>
  <si>
    <t>Used</t>
  </si>
  <si>
    <t>Wall need</t>
  </si>
  <si>
    <t>Length past input stud</t>
  </si>
  <si>
    <t>Boss factor</t>
  </si>
  <si>
    <t>Hardware $/bolt</t>
  </si>
  <si>
    <t>Rear need</t>
  </si>
  <si>
    <t>MEGA (M8)</t>
  </si>
  <si>
    <t>MIDI (M6)</t>
  </si>
  <si>
    <t>MIDI (M5)</t>
  </si>
  <si>
    <t>Total fuse positions</t>
  </si>
  <si>
    <t>CLEARANCES AND BUS SIZING</t>
  </si>
  <si>
    <t>Required clearance</t>
  </si>
  <si>
    <t>mm</t>
  </si>
  <si>
    <t>Required creepage</t>
  </si>
  <si>
    <t>Bus width needed for the current</t>
  </si>
  <si>
    <t>Bus width needed for the bolts</t>
  </si>
  <si>
    <t>Bus width used</t>
  </si>
  <si>
    <t>Bus width is set by</t>
  </si>
  <si>
    <t>Resulting current density</t>
  </si>
  <si>
    <t>A/mm2</t>
  </si>
  <si>
    <t>BLOCK SIZE</t>
  </si>
  <si>
    <t>Fuse positions</t>
  </si>
  <si>
    <t>Fuse slots width</t>
  </si>
  <si>
    <t>B+ stud section width</t>
  </si>
  <si>
    <t>Base width</t>
  </si>
  <si>
    <t>Wall height</t>
  </si>
  <si>
    <t>Base length</t>
  </si>
  <si>
    <t>Divider height (meets creepage)</t>
  </si>
  <si>
    <t>Overall height with cover</t>
  </si>
  <si>
    <t>Divider count</t>
  </si>
  <si>
    <t>COPPER</t>
  </si>
  <si>
    <t>Bus length (B+ stud to past the last input stud)</t>
  </si>
  <si>
    <t>Bus mass</t>
  </si>
  <si>
    <t>g</t>
  </si>
  <si>
    <t>Output side copper (none, cable lugs sit on the fuse terminals)</t>
  </si>
  <si>
    <t>Copper total</t>
  </si>
  <si>
    <t>Copper cost</t>
  </si>
  <si>
    <t>PLASTIC BASE</t>
  </si>
  <si>
    <t>Bolts retained in the base</t>
  </si>
  <si>
    <t>Boss volume for retention method</t>
  </si>
  <si>
    <t>mm3</t>
  </si>
  <si>
    <t>Floor volume</t>
  </si>
  <si>
    <t>Wall volume</t>
  </si>
  <si>
    <t>Divider volume</t>
  </si>
  <si>
    <t>Raw volume</t>
  </si>
  <si>
    <t>Molded volume with allowances</t>
  </si>
  <si>
    <t>Base mass</t>
  </si>
  <si>
    <t>Base plastic cost</t>
  </si>
  <si>
    <t>COVER</t>
  </si>
  <si>
    <t>COVER SIZE</t>
  </si>
  <si>
    <t>Top plate volume</t>
  </si>
  <si>
    <t>Overhang each side (mm)</t>
  </si>
  <si>
    <t>Skirt volume</t>
  </si>
  <si>
    <t>B+ end extension (mm)</t>
  </si>
  <si>
    <t>B+ eyelet hood volume</t>
  </si>
  <si>
    <t>Output side extension (mm)</t>
  </si>
  <si>
    <t>Cover volume with scrap</t>
  </si>
  <si>
    <t>Cover length (mm)</t>
  </si>
  <si>
    <t>Cover mass</t>
  </si>
  <si>
    <t>Cover width (mm)</t>
  </si>
  <si>
    <t>Cover plastic cost</t>
  </si>
  <si>
    <t>HARDWARE AND PROCESS ADDERS</t>
  </si>
  <si>
    <t>Fuse bolt and nut hardware</t>
  </si>
  <si>
    <t>Retention method adder</t>
  </si>
  <si>
    <t>Joining method adder</t>
  </si>
  <si>
    <t>B+ connection part (battery terminal or M8 stud)</t>
  </si>
  <si>
    <t>PART COST</t>
  </si>
  <si>
    <t>Plastic base</t>
  </si>
  <si>
    <t>Cover</t>
  </si>
  <si>
    <t>Copper</t>
  </si>
  <si>
    <t>B+ connection part</t>
  </si>
  <si>
    <t>Retention adder</t>
  </si>
  <si>
    <t>Joining adder</t>
  </si>
  <si>
    <t>Total part cost</t>
  </si>
  <si>
    <t>Cost per fuse position</t>
  </si>
  <si>
    <t>Total plastic mass (base and cover)</t>
  </si>
  <si>
    <t>Assumptions (placeholders)</t>
  </si>
  <si>
    <t>Every yellow cell is a placeholder. Replace with your own values, OEM requirements or supplier quotes. Blue text = input. See the Assumption Diagram sheet for a picture of what each dimension controls.</t>
  </si>
  <si>
    <t>General geometry, material and process</t>
  </si>
  <si>
    <t>Base floor thickness</t>
  </si>
  <si>
    <t>Placeholder</t>
  </si>
  <si>
    <t>Outer wall thickness</t>
  </si>
  <si>
    <t>Divider thickness between fuse slots</t>
  </si>
  <si>
    <t>Divider height as fraction of wall height</t>
  </si>
  <si>
    <t>ratio</t>
  </si>
  <si>
    <t>Raised automatically to meet the creepage value</t>
  </si>
  <si>
    <t>Cover thickness</t>
  </si>
  <si>
    <t>Cover skirt height</t>
  </si>
  <si>
    <t>PA66-GF30 density</t>
  </si>
  <si>
    <t>g/cm3</t>
  </si>
  <si>
    <t>Typical datasheet value, confirm with your grade</t>
  </si>
  <si>
    <t>Rib, boss and detail allowance on base</t>
  </si>
  <si>
    <t>%</t>
  </si>
  <si>
    <t>Placeholder, covers ribs and features not modeled</t>
  </si>
  <si>
    <t>Scrap and runner allowance</t>
  </si>
  <si>
    <t>Copper density</t>
  </si>
  <si>
    <t>Standard value</t>
  </si>
  <si>
    <t>Copper design current density</t>
  </si>
  <si>
    <t>Placeholder, set from your temperature rise target</t>
  </si>
  <si>
    <t>Plating cost uplift on copper</t>
  </si>
  <si>
    <t>Placeholder, tin plating</t>
  </si>
  <si>
    <t>Minimum bus width as multiple of bolt diameter</t>
  </si>
  <si>
    <t>x d</t>
  </si>
  <si>
    <t>Placeholder, edge distance rule</t>
  </si>
  <si>
    <t>OEM socket extra radial clearance</t>
  </si>
  <si>
    <t>Added around the socket outside diameter, replace with OEM guideline</t>
  </si>
  <si>
    <t>Cover hood volume per B+ eyelet, 90 degree exit</t>
  </si>
  <si>
    <t>Cover extension volume per B+ eyelet, flat exit</t>
  </si>
  <si>
    <t>Cable lug thickness on the fuse terminal</t>
  </si>
  <si>
    <t>Placeholder, adds to the tallest bolt stack at the output side</t>
  </si>
  <si>
    <t>Clearance and creepage by system voltage</t>
  </si>
  <si>
    <t>Lower bound (V)</t>
  </si>
  <si>
    <t>Clearance (mm)</t>
  </si>
  <si>
    <t>Creepage (mm)</t>
  </si>
  <si>
    <t>Note</t>
  </si>
  <si>
    <t>Row used = highest lower bound at or below the system voltage. Placeholders, set to your OEM spec.</t>
  </si>
  <si>
    <t>Bolt sizes and OEM socket clearance</t>
  </si>
  <si>
    <t>Thread dia (mm)</t>
  </si>
  <si>
    <t>Hole dia (mm)</t>
  </si>
  <si>
    <t>Socket AF (mm)</t>
  </si>
  <si>
    <t>Socket OD (mm)</t>
  </si>
  <si>
    <t>Socket clearance dia (mm)</t>
  </si>
  <si>
    <t>Nut height (mm)</t>
  </si>
  <si>
    <t>Washer thk (mm)</t>
  </si>
  <si>
    <t>Boss size factor</t>
  </si>
  <si>
    <t>M6</t>
  </si>
  <si>
    <t>M5</t>
  </si>
  <si>
    <t>Socket OD and hardware cost are placeholders. Nut heights follow ISO 4032 style 1.</t>
  </si>
  <si>
    <t>Method</t>
  </si>
  <si>
    <t>Boss plastic at M8 (mm3)</t>
  </si>
  <si>
    <t>Cost per bolt ($)</t>
  </si>
  <si>
    <t>Bolt loaded into the mold as an insert. All numbers are placeholders.</t>
  </si>
  <si>
    <t>Snap-in from bottom</t>
  </si>
  <si>
    <t>Bolt pressed into a snap boss from underneath. All numbers are placeholders.</t>
  </si>
  <si>
    <t>Slide-in</t>
  </si>
  <si>
    <t>Bolt head slides into a captured slot. All numbers are placeholders.</t>
  </si>
  <si>
    <t>Cost per joint ($)</t>
  </si>
  <si>
    <t>Second nut, washer and torque operation. Placeholder.</t>
  </si>
  <si>
    <t>Clinch</t>
  </si>
  <si>
    <t>Clinch press operation. Placeholder.</t>
  </si>
  <si>
    <t>Laser weld</t>
  </si>
  <si>
    <t>Weld cycle and fixturing. Placeholder.</t>
  </si>
  <si>
    <t>Cover footprint (cable escape)</t>
  </si>
  <si>
    <t>Fit gap between cover and base</t>
  </si>
  <si>
    <t>Placeholder. Cover overhangs the base by cover thickness plus this gap on every side</t>
  </si>
  <si>
    <t>Cover extension at B+ end, 90 degree eyelet</t>
  </si>
  <si>
    <t>Placeholder. Extra cover width past the base so the cable can leave. Zero for a battery terminal</t>
  </si>
  <si>
    <t>Cover extension at B+ end, flat eyelet</t>
  </si>
  <si>
    <t>Placeholder. A flat eyelet cable runs out along the base, so it needs more. Zero for a battery terminal</t>
  </si>
  <si>
    <t>Cover extension at fuse output side</t>
  </si>
  <si>
    <t>Placeholder. Extra cover length past the base so the wired fuse outputs can leave</t>
  </si>
  <si>
    <t>B+ connection parts (purchased)</t>
  </si>
  <si>
    <t>Battery terminal, purchased</t>
  </si>
  <si>
    <t>$ each</t>
  </si>
  <si>
    <t>Placeholder. Used when B+ connection is Battery terminal, one per B+ position</t>
  </si>
  <si>
    <t>B+ stud, M8, purchased</t>
  </si>
  <si>
    <t>Placeholder. Used for the eyelet options, one per B+ position. Edit if you use an M6 or M5 B+ stud</t>
  </si>
  <si>
    <t>Assumption diagram</t>
  </si>
  <si>
    <t>Static pictures drawn with the example values. They do not update when you change a cell. Cell references in the labels point to the Assumptions, Estimator and Fuse Library sheets.</t>
  </si>
  <si>
    <t>Fuse library</t>
  </si>
  <si>
    <t>Dimensions are approximate placeholders. Replace with values from the Littelfuse drawings before relying on the size output.</t>
  </si>
  <si>
    <t>Type</t>
  </si>
  <si>
    <t>Amp range (A)</t>
  </si>
  <si>
    <t>Hole pitch (mm)</t>
  </si>
  <si>
    <t>Body width (mm)</t>
  </si>
  <si>
    <t>Tab thk (mm)</t>
  </si>
  <si>
    <t>Fuse height (mm)</t>
  </si>
  <si>
    <t>Part number family</t>
  </si>
  <si>
    <t>Source note</t>
  </si>
  <si>
    <t>40 to 500</t>
  </si>
  <si>
    <t>MEGA bolt-down fuse, 298 series holder</t>
  </si>
  <si>
    <t>Littelfuse lists M8 studs and MEGA fuses from 40 A to 500 A. Specific fuse part numbers not confirmed.</t>
  </si>
  <si>
    <t>up to 200</t>
  </si>
  <si>
    <t>MIDI 498 series, M6 hole version, for example 0498200.MXM6</t>
  </si>
  <si>
    <t>Littelfuse lists a 200 A MIDI fuse with M6 holes.</t>
  </si>
  <si>
    <t>MIDI 498 series, standard M5 holes, for example 0498050.MXT and 0498125.MXT</t>
  </si>
  <si>
    <t>Littelfuse lists M5 holes at 4.5 Nm torque for these ratings.</t>
  </si>
  <si>
    <t>A fuse with a different hole size needs a different part number. Add a row here and on the Estimator sheet for any new variant.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</si>
</sst>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0.00"/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9C4"/>
        <bgColor rgb="FFFFFF99"/>
      </patternFill>
    </fill>
    <fill>
      <patternFill patternType="solid">
        <fgColor rgb="FFE8F3E8"/>
        <bgColor rgb="FFDCE6EC"/>
      </patternFill>
    </fill>
    <fill>
      <patternFill patternType="solid">
        <fgColor rgb="FFDCE6EC"/>
        <bgColor rgb="FFE8F3E8"/>
      </patternFill>
    </fill>
  </fills>
  <borders count="2">
    <border>
      <left/>
      <right/>
      <top/>
      <bottom/>
      <diagonal/>
    </border>
    <border>
      <left style="thin">
        <color rgb="FFB0B7BC"/>
      </left>
      <right style="thin">
        <color rgb="FFB0B7BC"/>
      </right>
      <top style="thin">
        <color rgb="FFB0B7BC"/>
      </top>
      <bottom style="thin">
        <color rgb="FFB0B7B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64" fontId="5" fillId="3" borderId="1" xfId="0" applyNumberFormat="1" applyFont="1" applyFill="1" applyBorder="1"/>
    <xf numFmtId="0" fontId="6" fillId="4" borderId="0" xfId="0" applyFont="1" applyFill="1"/>
    <xf numFmtId="165" fontId="6" fillId="4" borderId="0" xfId="0" applyNumberFormat="1" applyFont="1" applyFill="1" applyAlignment="1">
      <alignment horizontal="right"/>
    </xf>
    <xf numFmtId="1" fontId="5" fillId="3" borderId="1" xfId="0" applyNumberFormat="1" applyFont="1" applyFill="1" applyBorder="1"/>
    <xf numFmtId="0" fontId="6" fillId="4" borderId="0" xfId="0" applyFont="1" applyFill="1" applyAlignment="1">
      <alignment horizontal="right"/>
    </xf>
    <xf numFmtId="164" fontId="6" fillId="4" borderId="0" xfId="0" applyNumberFormat="1" applyFont="1" applyFill="1" applyAlignment="1">
      <alignment horizontal="right"/>
    </xf>
    <xf numFmtId="165" fontId="5" fillId="3" borderId="1" xfId="0" applyNumberFormat="1" applyFont="1" applyFill="1" applyBorder="1"/>
    <xf numFmtId="0" fontId="5" fillId="3" borderId="1" xfId="0" applyFont="1" applyFill="1" applyBorder="1"/>
    <xf numFmtId="0" fontId="6" fillId="5" borderId="0" xfId="0" applyFont="1" applyFill="1" applyAlignment="1">
      <alignment vertical="top" wrapText="1"/>
    </xf>
    <xf numFmtId="0" fontId="6" fillId="0" borderId="0" xfId="0" applyFont="1"/>
    <xf numFmtId="164" fontId="4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1" fontId="6" fillId="0" borderId="0" xfId="0" applyNumberFormat="1" applyFont="1"/>
    <xf numFmtId="164" fontId="6" fillId="0" borderId="0" xfId="0" applyNumberFormat="1" applyFont="1"/>
    <xf numFmtId="164" fontId="5" fillId="3" borderId="0" xfId="0" applyNumberFormat="1" applyFont="1" applyFill="1"/>
    <xf numFmtId="165" fontId="6" fillId="0" borderId="0" xfId="0" applyNumberFormat="1" applyFont="1"/>
    <xf numFmtId="3" fontId="4" fillId="0" borderId="0" xfId="0" applyNumberFormat="1" applyFont="1"/>
    <xf numFmtId="165" fontId="6" fillId="4" borderId="1" xfId="0" applyNumberFormat="1" applyFont="1" applyFill="1" applyBorder="1"/>
    <xf numFmtId="2" fontId="5" fillId="3" borderId="0" xfId="0" applyNumberFormat="1" applyFont="1" applyFill="1"/>
    <xf numFmtId="166" fontId="5" fillId="3" borderId="0" xfId="0" applyNumberFormat="1" applyFont="1" applyFill="1"/>
    <xf numFmtId="3" fontId="5" fillId="3" borderId="0" xfId="0" applyNumberFormat="1" applyFont="1" applyFill="1"/>
    <xf numFmtId="0" fontId="6" fillId="5" borderId="0" xfId="0" applyFont="1" applyFill="1"/>
    <xf numFmtId="165" fontId="5" fillId="3" borderId="0" xfId="0" applyNumberFormat="1" applyFont="1" applyFill="1"/>
    <xf numFmtId="0" fontId="3" fillId="2" borderId="0" xfId="0" applyFont="1" applyFill="1" applyAlignment="1">
      <alignment vertical="top" wrapText="1"/>
    </xf>
    <xf numFmtId="0" fontId="5" fillId="3" borderId="0" xfId="0" applyFont="1" applyFill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BC"/>
      <rgbColor rgb="FF808080"/>
      <rgbColor rgb="FF9999FF"/>
      <rgbColor rgb="FF993366"/>
      <rgbColor rgb="FFFFF9C4"/>
      <rgbColor rgb="FFE8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160920</xdr:rowOff>
    </xdr:from>
    <xdr:to>
      <xdr:col>15</xdr:col>
      <xdr:colOff>352080</xdr:colOff>
      <xdr:row>34</xdr:row>
      <xdr:rowOff>131760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71680"/>
          <a:ext cx="9524520" cy="6067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160560</xdr:rowOff>
    </xdr:from>
    <xdr:to>
      <xdr:col>15</xdr:col>
      <xdr:colOff>352080</xdr:colOff>
      <xdr:row>60</xdr:row>
      <xdr:rowOff>102960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7048440"/>
          <a:ext cx="9524520" cy="4514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showGridLines="0" topLeftCell="A9" zoomScaleNormal="100" workbookViewId="0">
      <selection activeCell="A28" sqref="A28"/>
    </sheetView>
  </sheetViews>
  <sheetFormatPr defaultColWidth="8.7109375" defaultRowHeight="15" x14ac:dyDescent="0.25"/>
  <cols>
    <col min="1" max="1" width="40" customWidth="1"/>
    <col min="2" max="2" width="16" customWidth="1"/>
    <col min="3" max="3" width="12" customWidth="1"/>
    <col min="4" max="4" width="22" customWidth="1"/>
    <col min="5" max="5" width="20" customWidth="1"/>
    <col min="6" max="10" width="12" customWidth="1"/>
    <col min="11" max="11" width="8" customWidth="1"/>
    <col min="12" max="15" width="12" customWidth="1"/>
  </cols>
  <sheetData>
    <row r="1" spans="1:16" ht="18" x14ac:dyDescent="0.25">
      <c r="A1" s="1" t="s">
        <v>0</v>
      </c>
    </row>
    <row r="2" spans="1:16" x14ac:dyDescent="0.25">
      <c r="A2" s="2" t="s">
        <v>1</v>
      </c>
    </row>
    <row r="4" spans="1:16" x14ac:dyDescent="0.25">
      <c r="A4" s="3" t="s">
        <v>2</v>
      </c>
      <c r="B4" s="4"/>
      <c r="C4" s="4"/>
      <c r="D4" s="3" t="s">
        <v>3</v>
      </c>
      <c r="E4" s="4"/>
    </row>
    <row r="5" spans="1:16" x14ac:dyDescent="0.25">
      <c r="A5" s="5" t="s">
        <v>4</v>
      </c>
      <c r="B5" s="6">
        <v>12</v>
      </c>
      <c r="C5" s="2" t="s">
        <v>5</v>
      </c>
      <c r="D5" s="7" t="s">
        <v>6</v>
      </c>
      <c r="E5" s="8">
        <f>B83</f>
        <v>6.7173408218000006</v>
      </c>
    </row>
    <row r="6" spans="1:16" x14ac:dyDescent="0.25">
      <c r="A6" s="5" t="s">
        <v>7</v>
      </c>
      <c r="B6" s="9">
        <v>300</v>
      </c>
      <c r="C6" s="2" t="s">
        <v>8</v>
      </c>
      <c r="D6" s="7" t="s">
        <v>9</v>
      </c>
      <c r="E6" s="10" t="str">
        <f>TEXT(B38,"0.0")&amp;" x "&amp;TEXT(B36,"0.0")&amp;" x "&amp;TEXT(B40,"0.0")</f>
        <v>77.5 x 149.0 x 20.4</v>
      </c>
    </row>
    <row r="7" spans="1:16" x14ac:dyDescent="0.25">
      <c r="A7" s="5" t="s">
        <v>10</v>
      </c>
      <c r="B7" s="6">
        <v>2</v>
      </c>
      <c r="C7" s="2" t="s">
        <v>11</v>
      </c>
      <c r="D7" s="7" t="s">
        <v>12</v>
      </c>
      <c r="E7" s="11">
        <f>B85</f>
        <v>195.78836760000004</v>
      </c>
    </row>
    <row r="8" spans="1:16" x14ac:dyDescent="0.25">
      <c r="A8" s="5" t="s">
        <v>13</v>
      </c>
      <c r="B8" s="12">
        <v>5.5</v>
      </c>
      <c r="C8" s="2" t="s">
        <v>14</v>
      </c>
      <c r="D8" s="7" t="s">
        <v>15</v>
      </c>
      <c r="E8" s="11">
        <f>B47</f>
        <v>94.416000000000011</v>
      </c>
    </row>
    <row r="9" spans="1:16" x14ac:dyDescent="0.25">
      <c r="A9" s="5" t="s">
        <v>16</v>
      </c>
      <c r="B9" s="12">
        <v>11</v>
      </c>
      <c r="C9" s="2" t="s">
        <v>14</v>
      </c>
      <c r="D9" s="7" t="s">
        <v>17</v>
      </c>
      <c r="E9" s="11">
        <f>B28</f>
        <v>37.5</v>
      </c>
    </row>
    <row r="10" spans="1:16" x14ac:dyDescent="0.25">
      <c r="A10" s="5" t="s">
        <v>18</v>
      </c>
      <c r="B10" s="13" t="s">
        <v>19</v>
      </c>
      <c r="C10" s="2" t="s">
        <v>20</v>
      </c>
      <c r="D10" s="7" t="s">
        <v>21</v>
      </c>
      <c r="E10" s="10" t="str">
        <f>B29</f>
        <v>Current load</v>
      </c>
    </row>
    <row r="11" spans="1:16" x14ac:dyDescent="0.25">
      <c r="A11" s="5" t="s">
        <v>22</v>
      </c>
      <c r="B11" s="9">
        <v>1</v>
      </c>
      <c r="C11" s="2" t="s">
        <v>23</v>
      </c>
      <c r="D11" s="7" t="s">
        <v>24</v>
      </c>
      <c r="E11" s="10" t="str">
        <f>TEXT(E65,"0.0")&amp;" x "&amp;TEXT(E66,"0.0")</f>
        <v>107.5 x 174.0</v>
      </c>
    </row>
    <row r="12" spans="1:16" x14ac:dyDescent="0.25">
      <c r="A12" s="5" t="s">
        <v>25</v>
      </c>
      <c r="B12" s="13" t="s">
        <v>26</v>
      </c>
      <c r="C12" s="2" t="s">
        <v>27</v>
      </c>
    </row>
    <row r="13" spans="1:16" x14ac:dyDescent="0.25">
      <c r="A13" s="5" t="s">
        <v>28</v>
      </c>
      <c r="B13" s="13" t="s">
        <v>29</v>
      </c>
      <c r="C13" s="2" t="s">
        <v>30</v>
      </c>
    </row>
    <row r="14" spans="1:16" x14ac:dyDescent="0.25">
      <c r="A14" s="5" t="s">
        <v>31</v>
      </c>
      <c r="B14" s="13" t="s">
        <v>32</v>
      </c>
      <c r="C14" s="2" t="s">
        <v>30</v>
      </c>
    </row>
    <row r="16" spans="1:16" x14ac:dyDescent="0.25">
      <c r="A16" s="3" t="s">
        <v>33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7.75" customHeight="1" x14ac:dyDescent="0.25">
      <c r="A17" s="14" t="s">
        <v>34</v>
      </c>
      <c r="B17" s="14" t="s">
        <v>35</v>
      </c>
      <c r="C17" s="14" t="s">
        <v>36</v>
      </c>
      <c r="D17" s="14" t="s">
        <v>37</v>
      </c>
      <c r="E17" s="14" t="s">
        <v>38</v>
      </c>
      <c r="F17" s="14" t="s">
        <v>39</v>
      </c>
      <c r="G17" s="14" t="s">
        <v>40</v>
      </c>
      <c r="H17" s="14" t="s">
        <v>41</v>
      </c>
      <c r="I17" s="14" t="s">
        <v>42</v>
      </c>
      <c r="J17" s="14" t="s">
        <v>43</v>
      </c>
      <c r="K17" s="14" t="s">
        <v>44</v>
      </c>
      <c r="L17" s="14" t="s">
        <v>45</v>
      </c>
      <c r="M17" s="14" t="s">
        <v>46</v>
      </c>
      <c r="N17" s="14" t="s">
        <v>47</v>
      </c>
      <c r="O17" s="14" t="s">
        <v>48</v>
      </c>
      <c r="P17" s="14" t="s">
        <v>49</v>
      </c>
    </row>
    <row r="18" spans="1:16" x14ac:dyDescent="0.25">
      <c r="A18" s="15" t="s">
        <v>50</v>
      </c>
      <c r="B18" s="9">
        <v>2</v>
      </c>
      <c r="C18" s="5" t="str">
        <f>INDEX('Fuse Library'!$B$5:$B$7,MATCH($A18,'Fuse Library'!$A$5:$A$7,0))</f>
        <v>M8</v>
      </c>
      <c r="D18" s="16">
        <f>INDEX('Fuse Library'!$D$5:$D$7,MATCH($A18,'Fuse Library'!$A$5:$A$7,0))</f>
        <v>32</v>
      </c>
      <c r="E18" s="16">
        <f>INDEX('Fuse Library'!$E$5:$E$7,MATCH($A18,'Fuse Library'!$A$5:$A$7,0))</f>
        <v>27</v>
      </c>
      <c r="F18" s="16">
        <f>INDEX('Fuse Library'!$F$5:$F$7,MATCH($A18,'Fuse Library'!$A$5:$A$7,0))</f>
        <v>3</v>
      </c>
      <c r="G18" s="16">
        <f>INDEX('Fuse Library'!$G$5:$G$7,MATCH($A18,'Fuse Library'!$A$5:$A$7,0))</f>
        <v>11</v>
      </c>
      <c r="H18" s="16">
        <f>MAX(E18,INDEX(Assumptions!$F$31:$F$33,MATCH(C18,Assumptions!$A$31:$A$33,0)),I18+$B$24)+Assumptions!$B$6</f>
        <v>29</v>
      </c>
      <c r="I18" s="16">
        <f>Assumptions!$B$16*INDEX(Assumptions!$B$31:$B$33,MATCH(C18,Assumptions!$A$31:$A$33,0))</f>
        <v>20</v>
      </c>
      <c r="J18" s="16">
        <f>$B$7+F18+Assumptions!$B$20+INDEX(Assumptions!$H$31:$H$33,MATCH(C18,Assumptions!$A$31:$A$33,0))+INDEX(Assumptions!$G$31:$G$33,MATCH(C18,Assumptions!$A$31:$A$33,0))</f>
        <v>15.399999999999999</v>
      </c>
      <c r="K18" s="17">
        <f>IF(B18&gt;0,1,0)</f>
        <v>1</v>
      </c>
      <c r="L18" s="16">
        <f>MAX(G18,J18)</f>
        <v>15.399999999999999</v>
      </c>
      <c r="M18" s="16">
        <f>D18+INDEX(Assumptions!$F$31:$F$33,MATCH(C18,Assumptions!$A$31:$A$33,0))/2+Assumptions!$B$5</f>
        <v>46</v>
      </c>
      <c r="N18" s="18">
        <f>INDEX(Assumptions!$J$31:$J$33,MATCH(C18,Assumptions!$A$31:$A$33,0))</f>
        <v>1</v>
      </c>
      <c r="O18" s="19">
        <f>INDEX(Assumptions!$I$31:$I$33,MATCH(C18,Assumptions!$A$31:$A$33,0))</f>
        <v>0.3</v>
      </c>
      <c r="P18" s="16">
        <f>INDEX(Assumptions!$F$31:$F$33,MATCH(C18,Assumptions!$A$31:$A$33,0))/2+Assumptions!$B$5</f>
        <v>14</v>
      </c>
    </row>
    <row r="19" spans="1:16" x14ac:dyDescent="0.25">
      <c r="A19" s="15" t="s">
        <v>51</v>
      </c>
      <c r="B19" s="9">
        <v>1</v>
      </c>
      <c r="C19" s="5" t="str">
        <f>INDEX('Fuse Library'!$B$5:$B$7,MATCH($A19,'Fuse Library'!$A$5:$A$7,0))</f>
        <v>M6</v>
      </c>
      <c r="D19" s="16">
        <f>INDEX('Fuse Library'!$D$5:$D$7,MATCH($A19,'Fuse Library'!$A$5:$A$7,0))</f>
        <v>28.5</v>
      </c>
      <c r="E19" s="16">
        <f>INDEX('Fuse Library'!$E$5:$E$7,MATCH($A19,'Fuse Library'!$A$5:$A$7,0))</f>
        <v>20</v>
      </c>
      <c r="F19" s="16">
        <f>INDEX('Fuse Library'!$F$5:$F$7,MATCH($A19,'Fuse Library'!$A$5:$A$7,0))</f>
        <v>2</v>
      </c>
      <c r="G19" s="16">
        <f>INDEX('Fuse Library'!$G$5:$G$7,MATCH($A19,'Fuse Library'!$A$5:$A$7,0))</f>
        <v>9</v>
      </c>
      <c r="H19" s="16">
        <f>MAX(E19,INDEX(Assumptions!$F$31:$F$33,MATCH(C19,Assumptions!$A$31:$A$33,0)),I19+$B$24)+Assumptions!$B$6</f>
        <v>22</v>
      </c>
      <c r="I19" s="16">
        <f>Assumptions!$B$16*INDEX(Assumptions!$B$31:$B$33,MATCH(C19,Assumptions!$A$31:$A$33,0))</f>
        <v>15</v>
      </c>
      <c r="J19" s="16">
        <f>$B$7+F19+Assumptions!$B$20+INDEX(Assumptions!$H$31:$H$33,MATCH(C19,Assumptions!$A$31:$A$33,0))+INDEX(Assumptions!$G$31:$G$33,MATCH(C19,Assumptions!$A$31:$A$33,0))</f>
        <v>12.8</v>
      </c>
      <c r="K19" s="17">
        <f>IF(B19&gt;0,1,0)</f>
        <v>1</v>
      </c>
      <c r="L19" s="16">
        <f>MAX(G19,J19)</f>
        <v>12.8</v>
      </c>
      <c r="M19" s="16">
        <f>D19+INDEX(Assumptions!$F$31:$F$33,MATCH(C19,Assumptions!$A$31:$A$33,0))/2+Assumptions!$B$5</f>
        <v>40.5</v>
      </c>
      <c r="N19" s="18">
        <f>INDEX(Assumptions!$J$31:$J$33,MATCH(C19,Assumptions!$A$31:$A$33,0))</f>
        <v>0.75</v>
      </c>
      <c r="O19" s="19">
        <f>INDEX(Assumptions!$I$31:$I$33,MATCH(C19,Assumptions!$A$31:$A$33,0))</f>
        <v>0.18</v>
      </c>
      <c r="P19" s="16">
        <f>INDEX(Assumptions!$F$31:$F$33,MATCH(C19,Assumptions!$A$31:$A$33,0))/2+Assumptions!$B$5</f>
        <v>12</v>
      </c>
    </row>
    <row r="20" spans="1:16" x14ac:dyDescent="0.25">
      <c r="A20" s="15" t="s">
        <v>52</v>
      </c>
      <c r="B20" s="9">
        <v>2</v>
      </c>
      <c r="C20" s="5" t="str">
        <f>INDEX('Fuse Library'!$B$5:$B$7,MATCH($A20,'Fuse Library'!$A$5:$A$7,0))</f>
        <v>M5</v>
      </c>
      <c r="D20" s="16">
        <f>INDEX('Fuse Library'!$D$5:$D$7,MATCH($A20,'Fuse Library'!$A$5:$A$7,0))</f>
        <v>28.5</v>
      </c>
      <c r="E20" s="16">
        <f>INDEX('Fuse Library'!$E$5:$E$7,MATCH($A20,'Fuse Library'!$A$5:$A$7,0))</f>
        <v>17.5</v>
      </c>
      <c r="F20" s="16">
        <f>INDEX('Fuse Library'!$F$5:$F$7,MATCH($A20,'Fuse Library'!$A$5:$A$7,0))</f>
        <v>2</v>
      </c>
      <c r="G20" s="16">
        <f>INDEX('Fuse Library'!$G$5:$G$7,MATCH($A20,'Fuse Library'!$A$5:$A$7,0))</f>
        <v>9</v>
      </c>
      <c r="H20" s="16">
        <f>MAX(E20,INDEX(Assumptions!$F$31:$F$33,MATCH(C20,Assumptions!$A$31:$A$33,0)),I20+$B$24)+Assumptions!$B$6</f>
        <v>19.5</v>
      </c>
      <c r="I20" s="16">
        <f>Assumptions!$B$16*INDEX(Assumptions!$B$31:$B$33,MATCH(C20,Assumptions!$A$31:$A$33,0))</f>
        <v>12.5</v>
      </c>
      <c r="J20" s="16">
        <f>$B$7+F20+Assumptions!$B$20+INDEX(Assumptions!$H$31:$H$33,MATCH(C20,Assumptions!$A$31:$A$33,0))+INDEX(Assumptions!$G$31:$G$33,MATCH(C20,Assumptions!$A$31:$A$33,0))</f>
        <v>11.7</v>
      </c>
      <c r="K20" s="17">
        <f>IF(B20&gt;0,1,0)</f>
        <v>1</v>
      </c>
      <c r="L20" s="16">
        <f>MAX(G20,J20)</f>
        <v>11.7</v>
      </c>
      <c r="M20" s="16">
        <f>D20+INDEX(Assumptions!$F$31:$F$33,MATCH(C20,Assumptions!$A$31:$A$33,0))/2+Assumptions!$B$5</f>
        <v>39.5</v>
      </c>
      <c r="N20" s="18">
        <f>INDEX(Assumptions!$J$31:$J$33,MATCH(C20,Assumptions!$A$31:$A$33,0))</f>
        <v>0.6</v>
      </c>
      <c r="O20" s="19">
        <f>INDEX(Assumptions!$I$31:$I$33,MATCH(C20,Assumptions!$A$31:$A$33,0))</f>
        <v>0.14000000000000001</v>
      </c>
      <c r="P20" s="16">
        <f>INDEX(Assumptions!$F$31:$F$33,MATCH(C20,Assumptions!$A$31:$A$33,0))/2+Assumptions!$B$5</f>
        <v>11</v>
      </c>
    </row>
    <row r="21" spans="1:16" x14ac:dyDescent="0.25">
      <c r="A21" s="15" t="s">
        <v>53</v>
      </c>
      <c r="B21" s="20">
        <f>SUM(B18:B20)</f>
        <v>5</v>
      </c>
    </row>
    <row r="23" spans="1:16" x14ac:dyDescent="0.25">
      <c r="A23" s="3" t="s">
        <v>54</v>
      </c>
      <c r="B23" s="4"/>
      <c r="C23" s="4"/>
    </row>
    <row r="24" spans="1:16" x14ac:dyDescent="0.25">
      <c r="A24" s="5" t="s">
        <v>55</v>
      </c>
      <c r="B24" s="16">
        <f>INDEX(Assumptions!$B$23:$B$26,MATCH($B$5,Assumptions!$A$23:$A$26,1))</f>
        <v>1.5</v>
      </c>
      <c r="C24" s="2" t="s">
        <v>56</v>
      </c>
    </row>
    <row r="25" spans="1:16" x14ac:dyDescent="0.25">
      <c r="A25" s="5" t="s">
        <v>57</v>
      </c>
      <c r="B25" s="16">
        <f>INDEX(Assumptions!$C$23:$C$26,MATCH($B$5,Assumptions!$A$23:$A$26,1))</f>
        <v>2</v>
      </c>
      <c r="C25" s="2" t="s">
        <v>56</v>
      </c>
    </row>
    <row r="26" spans="1:16" x14ac:dyDescent="0.25">
      <c r="A26" s="5" t="s">
        <v>58</v>
      </c>
      <c r="B26" s="16">
        <f>B6/(Assumptions!$B$14*B7)</f>
        <v>37.5</v>
      </c>
      <c r="C26" s="2" t="s">
        <v>56</v>
      </c>
    </row>
    <row r="27" spans="1:16" x14ac:dyDescent="0.25">
      <c r="A27" s="5" t="s">
        <v>59</v>
      </c>
      <c r="B27" s="16">
        <f>MAX(SUMPRODUCT(MAX($K$18:$K$20*$I$18:$I$20)),Assumptions!$B$16*INDEX(Assumptions!$B$31:$B$33,MATCH($B$10,Assumptions!$A$31:$A$33,0)))</f>
        <v>20</v>
      </c>
      <c r="C27" s="2" t="s">
        <v>56</v>
      </c>
    </row>
    <row r="28" spans="1:16" x14ac:dyDescent="0.25">
      <c r="A28" s="15" t="s">
        <v>60</v>
      </c>
      <c r="B28" s="21">
        <f>MAX(B26,B27)</f>
        <v>37.5</v>
      </c>
      <c r="C28" s="2" t="s">
        <v>56</v>
      </c>
    </row>
    <row r="29" spans="1:16" x14ac:dyDescent="0.25">
      <c r="A29" s="5" t="s">
        <v>61</v>
      </c>
      <c r="B29" s="5" t="str">
        <f>IF(B26&gt;=B27,"Current load","Bolt size")</f>
        <v>Current load</v>
      </c>
    </row>
    <row r="30" spans="1:16" x14ac:dyDescent="0.25">
      <c r="A30" s="5" t="s">
        <v>62</v>
      </c>
      <c r="B30" s="18">
        <f>B6/(B28*B7)</f>
        <v>4</v>
      </c>
      <c r="C30" s="2" t="s">
        <v>63</v>
      </c>
    </row>
    <row r="32" spans="1:16" x14ac:dyDescent="0.25">
      <c r="A32" s="3" t="s">
        <v>64</v>
      </c>
      <c r="B32" s="4"/>
      <c r="C32" s="4"/>
    </row>
    <row r="33" spans="1:3" x14ac:dyDescent="0.25">
      <c r="A33" s="5" t="s">
        <v>65</v>
      </c>
      <c r="B33" s="17">
        <f>B21</f>
        <v>5</v>
      </c>
    </row>
    <row r="34" spans="1:3" x14ac:dyDescent="0.25">
      <c r="A34" s="5" t="s">
        <v>66</v>
      </c>
      <c r="B34" s="16">
        <f>SUMPRODUCT(B18:B20,H18:H20)</f>
        <v>119</v>
      </c>
      <c r="C34" s="2" t="s">
        <v>56</v>
      </c>
    </row>
    <row r="35" spans="1:3" x14ac:dyDescent="0.25">
      <c r="A35" s="5" t="s">
        <v>67</v>
      </c>
      <c r="B35" s="16">
        <f>B11*(INDEX(Assumptions!$F$31:$F$33,MATCH($B$10,Assumptions!$A$31:$A$33,0))+Assumptions!$B$6)</f>
        <v>25</v>
      </c>
      <c r="C35" s="2" t="s">
        <v>56</v>
      </c>
    </row>
    <row r="36" spans="1:3" x14ac:dyDescent="0.25">
      <c r="A36" s="15" t="s">
        <v>68</v>
      </c>
      <c r="B36" s="21">
        <f>B34+B35+2*Assumptions!$B$5</f>
        <v>149</v>
      </c>
      <c r="C36" s="2" t="s">
        <v>56</v>
      </c>
    </row>
    <row r="37" spans="1:3" x14ac:dyDescent="0.25">
      <c r="A37" s="5" t="s">
        <v>69</v>
      </c>
      <c r="B37" s="16">
        <f>SUMPRODUCT(MAX($K$18:$K$20*$L$18:$L$20))</f>
        <v>15.399999999999999</v>
      </c>
      <c r="C37" s="2" t="s">
        <v>56</v>
      </c>
    </row>
    <row r="38" spans="1:3" x14ac:dyDescent="0.25">
      <c r="A38" s="15" t="s">
        <v>70</v>
      </c>
      <c r="B38" s="21">
        <f>MAX(MAX(SUMPRODUCT(MAX($K$18:$K$20*$P$18:$P$20)),(B28-B27/2)+B24+Assumptions!$B$5)+SUMPRODUCT(MAX($K$18:$K$20*$M$18:$M$20)),INDEX(Assumptions!$F$31:$F$33,MATCH($B$10,Assumptions!$A$31:$A$33,0))+2*Assumptions!$B$5)</f>
        <v>77.5</v>
      </c>
      <c r="C38" s="2" t="s">
        <v>56</v>
      </c>
    </row>
    <row r="39" spans="1:3" x14ac:dyDescent="0.25">
      <c r="A39" s="5" t="s">
        <v>71</v>
      </c>
      <c r="B39" s="16">
        <f>MIN(B37,MAX(Assumptions!$B$7*B37,B25))</f>
        <v>9.2399999999999984</v>
      </c>
      <c r="C39" s="2" t="s">
        <v>56</v>
      </c>
    </row>
    <row r="40" spans="1:3" x14ac:dyDescent="0.25">
      <c r="A40" s="5" t="s">
        <v>72</v>
      </c>
      <c r="B40" s="16">
        <f>Assumptions!$B$4+B37+Assumptions!$B$8</f>
        <v>20.399999999999999</v>
      </c>
      <c r="C40" s="2" t="s">
        <v>56</v>
      </c>
    </row>
    <row r="41" spans="1:3" x14ac:dyDescent="0.25">
      <c r="A41" s="5" t="s">
        <v>73</v>
      </c>
      <c r="B41" s="17">
        <f>B33+B11-1</f>
        <v>5</v>
      </c>
    </row>
    <row r="43" spans="1:3" x14ac:dyDescent="0.25">
      <c r="A43" s="3" t="s">
        <v>74</v>
      </c>
      <c r="B43" s="4"/>
      <c r="C43" s="4"/>
    </row>
    <row r="44" spans="1:3" x14ac:dyDescent="0.25">
      <c r="A44" s="5" t="s">
        <v>75</v>
      </c>
      <c r="B44" s="16">
        <f>B36-2*Assumptions!$B$5-IF(B20&gt;0,H20,IF(B19&gt;0,H19,H18))/2+IF(B20&gt;0,I20,IF(B19&gt;0,I19,I18))/2</f>
        <v>140.5</v>
      </c>
      <c r="C44" s="2" t="s">
        <v>56</v>
      </c>
    </row>
    <row r="45" spans="1:3" x14ac:dyDescent="0.25">
      <c r="A45" s="5" t="s">
        <v>76</v>
      </c>
      <c r="B45" s="16">
        <f>B44*B28*B7*Assumptions!$B$13/1000</f>
        <v>94.416000000000011</v>
      </c>
      <c r="C45" s="2" t="s">
        <v>77</v>
      </c>
    </row>
    <row r="46" spans="1:3" x14ac:dyDescent="0.25">
      <c r="A46" s="5" t="s">
        <v>78</v>
      </c>
      <c r="B46" s="22">
        <v>0</v>
      </c>
      <c r="C46" s="2" t="s">
        <v>77</v>
      </c>
    </row>
    <row r="47" spans="1:3" x14ac:dyDescent="0.25">
      <c r="A47" s="5" t="s">
        <v>79</v>
      </c>
      <c r="B47" s="16">
        <f>B45+B46</f>
        <v>94.416000000000011</v>
      </c>
      <c r="C47" s="2" t="s">
        <v>77</v>
      </c>
    </row>
    <row r="48" spans="1:3" x14ac:dyDescent="0.25">
      <c r="A48" s="15" t="s">
        <v>80</v>
      </c>
      <c r="B48" s="23">
        <f>B47/1000*B9*(1+Assumptions!$B$15)</f>
        <v>1.0905048000000002</v>
      </c>
    </row>
    <row r="50" spans="1:5" x14ac:dyDescent="0.25">
      <c r="A50" s="3" t="s">
        <v>81</v>
      </c>
      <c r="B50" s="4"/>
      <c r="C50" s="4"/>
    </row>
    <row r="51" spans="1:5" x14ac:dyDescent="0.25">
      <c r="A51" s="5" t="s">
        <v>82</v>
      </c>
      <c r="B51" s="17">
        <f>2*B33+B11</f>
        <v>11</v>
      </c>
    </row>
    <row r="52" spans="1:5" x14ac:dyDescent="0.25">
      <c r="A52" s="5" t="s">
        <v>83</v>
      </c>
      <c r="B52" s="24">
        <f>INDEX(Assumptions!$B$37:$B$39,MATCH(B13,Assumptions!$A$37:$A$39,0))*(2*SUMPRODUCT(B18:B20,N18:N20)+B11*INDEX(Assumptions!$J$31:$J$33,MATCH($B$10,Assumptions!$A$31:$A$33,0)))</f>
        <v>17800</v>
      </c>
      <c r="C52" s="2" t="s">
        <v>84</v>
      </c>
    </row>
    <row r="53" spans="1:5" x14ac:dyDescent="0.25">
      <c r="A53" s="5" t="s">
        <v>85</v>
      </c>
      <c r="B53" s="24">
        <f>B38*B36*Assumptions!$B$4</f>
        <v>34642.5</v>
      </c>
      <c r="C53" s="2" t="s">
        <v>84</v>
      </c>
    </row>
    <row r="54" spans="1:5" x14ac:dyDescent="0.25">
      <c r="A54" s="5" t="s">
        <v>86</v>
      </c>
      <c r="B54" s="24">
        <f>2*(B38+B36-2*Assumptions!$B$5)*Assumptions!$B$5*B37</f>
        <v>17055.5</v>
      </c>
      <c r="C54" s="2" t="s">
        <v>84</v>
      </c>
    </row>
    <row r="55" spans="1:5" x14ac:dyDescent="0.25">
      <c r="A55" s="5" t="s">
        <v>87</v>
      </c>
      <c r="B55" s="24">
        <f>B41*(B38-2*Assumptions!$B$5)*Assumptions!$B$6*B39</f>
        <v>6698.9999999999991</v>
      </c>
      <c r="C55" s="2" t="s">
        <v>84</v>
      </c>
    </row>
    <row r="56" spans="1:5" x14ac:dyDescent="0.25">
      <c r="A56" s="5" t="s">
        <v>88</v>
      </c>
      <c r="B56" s="24">
        <f>B52+B53+B54+B55</f>
        <v>76197</v>
      </c>
      <c r="C56" s="2" t="s">
        <v>84</v>
      </c>
    </row>
    <row r="57" spans="1:5" x14ac:dyDescent="0.25">
      <c r="A57" s="5" t="s">
        <v>89</v>
      </c>
      <c r="B57" s="24">
        <f>B56*(1+Assumptions!$B$11)*(1+Assumptions!$B$12)</f>
        <v>88007.535000000018</v>
      </c>
      <c r="C57" s="2" t="s">
        <v>84</v>
      </c>
    </row>
    <row r="58" spans="1:5" x14ac:dyDescent="0.25">
      <c r="A58" s="5" t="s">
        <v>90</v>
      </c>
      <c r="B58" s="16">
        <f>B57/1000*Assumptions!$B$10</f>
        <v>119.69024760000003</v>
      </c>
      <c r="C58" s="2" t="s">
        <v>77</v>
      </c>
    </row>
    <row r="59" spans="1:5" x14ac:dyDescent="0.25">
      <c r="A59" s="15" t="s">
        <v>91</v>
      </c>
      <c r="B59" s="23">
        <f>B58/1000*B8</f>
        <v>0.65829636180000017</v>
      </c>
    </row>
    <row r="61" spans="1:5" x14ac:dyDescent="0.25">
      <c r="A61" s="3" t="s">
        <v>92</v>
      </c>
      <c r="B61" s="4"/>
      <c r="C61" s="4"/>
      <c r="D61" s="3" t="s">
        <v>93</v>
      </c>
      <c r="E61" s="4"/>
    </row>
    <row r="62" spans="1:5" x14ac:dyDescent="0.25">
      <c r="A62" s="5" t="s">
        <v>94</v>
      </c>
      <c r="B62" s="24">
        <f>E65*E66*Assumptions!$B$8</f>
        <v>37410</v>
      </c>
      <c r="C62" s="2" t="s">
        <v>84</v>
      </c>
      <c r="D62" s="5" t="s">
        <v>95</v>
      </c>
      <c r="E62" s="16">
        <f>Assumptions!$B$8+Assumptions!$B$48</f>
        <v>2.5</v>
      </c>
    </row>
    <row r="63" spans="1:5" x14ac:dyDescent="0.25">
      <c r="A63" s="5" t="s">
        <v>96</v>
      </c>
      <c r="B63" s="24">
        <f>2*(E65+E66-2*Assumptions!$B$8)*Assumptions!$B$8*Assumptions!$B$9</f>
        <v>8880</v>
      </c>
      <c r="C63" s="2" t="s">
        <v>84</v>
      </c>
      <c r="D63" s="5" t="s">
        <v>97</v>
      </c>
      <c r="E63" s="16">
        <f>IF(AND(B11&gt;0,B12&lt;&gt;"Battery terminal"),IF(B12="Eyelet 90 degree",Assumptions!$B$49,Assumptions!$B$50),0)</f>
        <v>20</v>
      </c>
    </row>
    <row r="64" spans="1:5" x14ac:dyDescent="0.25">
      <c r="A64" s="5" t="s">
        <v>98</v>
      </c>
      <c r="B64" s="24">
        <f>IF(B12="Battery terminal",0,B11*IF(B12="Eyelet 90 degree",Assumptions!$B$18,Assumptions!$B$19))</f>
        <v>7000</v>
      </c>
      <c r="C64" s="2" t="s">
        <v>84</v>
      </c>
      <c r="D64" s="5" t="s">
        <v>99</v>
      </c>
      <c r="E64" s="16">
        <f>Assumptions!$B$51</f>
        <v>25</v>
      </c>
    </row>
    <row r="65" spans="1:5" x14ac:dyDescent="0.25">
      <c r="A65" s="5" t="s">
        <v>100</v>
      </c>
      <c r="B65" s="24">
        <f>(B62+B63+B64)*(1+Assumptions!$B$12)</f>
        <v>55954.5</v>
      </c>
      <c r="C65" s="2" t="s">
        <v>84</v>
      </c>
      <c r="D65" s="15" t="s">
        <v>101</v>
      </c>
      <c r="E65" s="21">
        <f>B38+2*E62+E64</f>
        <v>107.5</v>
      </c>
    </row>
    <row r="66" spans="1:5" x14ac:dyDescent="0.25">
      <c r="A66" s="5" t="s">
        <v>102</v>
      </c>
      <c r="B66" s="16">
        <f>B65/1000*Assumptions!$B$10</f>
        <v>76.098120000000009</v>
      </c>
      <c r="C66" s="2" t="s">
        <v>77</v>
      </c>
      <c r="D66" s="15" t="s">
        <v>103</v>
      </c>
      <c r="E66" s="21">
        <f>B36+2*E62+E63</f>
        <v>174</v>
      </c>
    </row>
    <row r="67" spans="1:5" x14ac:dyDescent="0.25">
      <c r="A67" s="15" t="s">
        <v>104</v>
      </c>
      <c r="B67" s="23">
        <f>B66/1000*B8</f>
        <v>0.41853966000000004</v>
      </c>
    </row>
    <row r="69" spans="1:5" x14ac:dyDescent="0.25">
      <c r="A69" s="3" t="s">
        <v>105</v>
      </c>
      <c r="B69" s="4"/>
      <c r="C69" s="4"/>
    </row>
    <row r="70" spans="1:5" x14ac:dyDescent="0.25">
      <c r="A70" s="5" t="s">
        <v>106</v>
      </c>
      <c r="B70" s="19">
        <f>2*SUMPRODUCT(B18:B20,O18:O20)</f>
        <v>2.12</v>
      </c>
    </row>
    <row r="71" spans="1:5" x14ac:dyDescent="0.25">
      <c r="A71" s="5" t="s">
        <v>107</v>
      </c>
      <c r="B71" s="19">
        <f>B51*INDEX(Assumptions!$C$37:$C$39,MATCH(B13,Assumptions!$A$37:$A$39,0))</f>
        <v>0.88</v>
      </c>
    </row>
    <row r="72" spans="1:5" x14ac:dyDescent="0.25">
      <c r="A72" s="5" t="s">
        <v>108</v>
      </c>
      <c r="B72" s="19">
        <f>B51*INDEX(Assumptions!$B$43:$B$45,MATCH(B14,Assumptions!$A$43:$A$45,0))</f>
        <v>1.1000000000000001</v>
      </c>
    </row>
    <row r="73" spans="1:5" x14ac:dyDescent="0.25">
      <c r="A73" s="5" t="s">
        <v>109</v>
      </c>
      <c r="B73" s="19">
        <f>IF(B12="Battery terminal",B11*Assumptions!$B$54,B11*Assumptions!$B$55)</f>
        <v>0.45</v>
      </c>
    </row>
    <row r="75" spans="1:5" x14ac:dyDescent="0.25">
      <c r="A75" s="3" t="s">
        <v>110</v>
      </c>
      <c r="B75" s="4"/>
      <c r="C75" s="4"/>
    </row>
    <row r="76" spans="1:5" x14ac:dyDescent="0.25">
      <c r="A76" s="5" t="s">
        <v>111</v>
      </c>
      <c r="B76" s="19">
        <f>B59</f>
        <v>0.65829636180000017</v>
      </c>
    </row>
    <row r="77" spans="1:5" x14ac:dyDescent="0.25">
      <c r="A77" s="5" t="s">
        <v>112</v>
      </c>
      <c r="B77" s="19">
        <f>B67</f>
        <v>0.41853966000000004</v>
      </c>
    </row>
    <row r="78" spans="1:5" x14ac:dyDescent="0.25">
      <c r="A78" s="5" t="s">
        <v>113</v>
      </c>
      <c r="B78" s="19">
        <f>B48</f>
        <v>1.0905048000000002</v>
      </c>
    </row>
    <row r="79" spans="1:5" x14ac:dyDescent="0.25">
      <c r="A79" s="5" t="s">
        <v>106</v>
      </c>
      <c r="B79" s="19">
        <f>B70</f>
        <v>2.12</v>
      </c>
    </row>
    <row r="80" spans="1:5" x14ac:dyDescent="0.25">
      <c r="A80" s="5" t="s">
        <v>114</v>
      </c>
      <c r="B80" s="19">
        <f>B73</f>
        <v>0.45</v>
      </c>
    </row>
    <row r="81" spans="1:3" x14ac:dyDescent="0.25">
      <c r="A81" s="5" t="s">
        <v>115</v>
      </c>
      <c r="B81" s="19">
        <f>B71</f>
        <v>0.88</v>
      </c>
    </row>
    <row r="82" spans="1:3" x14ac:dyDescent="0.25">
      <c r="A82" s="5" t="s">
        <v>116</v>
      </c>
      <c r="B82" s="19">
        <f>B72</f>
        <v>1.1000000000000001</v>
      </c>
    </row>
    <row r="83" spans="1:3" x14ac:dyDescent="0.25">
      <c r="A83" s="7" t="s">
        <v>117</v>
      </c>
      <c r="B83" s="25">
        <f>SUM(B76:B82)</f>
        <v>6.7173408218000006</v>
      </c>
    </row>
    <row r="84" spans="1:3" x14ac:dyDescent="0.25">
      <c r="A84" s="5" t="s">
        <v>118</v>
      </c>
      <c r="B84" s="19">
        <f>B83/B33</f>
        <v>1.3434681643600002</v>
      </c>
    </row>
    <row r="85" spans="1:3" x14ac:dyDescent="0.25">
      <c r="A85" s="5" t="s">
        <v>119</v>
      </c>
      <c r="B85" s="16">
        <f>B58+B66</f>
        <v>195.78836760000004</v>
      </c>
      <c r="C85" s="2" t="s">
        <v>77</v>
      </c>
    </row>
  </sheetData>
  <dataValidations count="4">
    <dataValidation type="decimal" showErrorMessage="1" errorTitle="Copper thickness" error="Enter a value from 0.8 to 5.0 mm." sqref="B7" xr:uid="{00000000-0002-0000-0000-000000000000}">
      <formula1>0.8</formula1>
      <formula2>5</formula2>
    </dataValidation>
    <dataValidation type="list" showErrorMessage="1" sqref="B10" xr:uid="{00000000-0002-0000-0000-000001000000}">
      <formula1>"M8,M6,M5"</formula1>
      <formula2>0</formula2>
    </dataValidation>
    <dataValidation type="list" showErrorMessage="1" sqref="B12" xr:uid="{00000000-0002-0000-0000-000002000000}">
      <formula1>"Eyelet 90 degree,Eyelet flat,Battery terminal"</formula1>
      <formula2>0</formula2>
    </dataValidation>
    <dataValidation type="whole" operator="greaterThanOrEqual" showErrorMessage="1" error="Enter a whole number, 0 or more." sqref="B11 B18:B20" xr:uid="{00000000-0002-0000-0000-000005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00000000-0002-0000-0000-000003000000}">
          <x14:formula1>
            <xm:f>Assumptions!$A$37:$A$39</xm:f>
          </x14:formula1>
          <x14:formula2>
            <xm:f>0</xm:f>
          </x14:formula2>
          <xm:sqref>B13</xm:sqref>
        </x14:dataValidation>
        <x14:dataValidation type="list" showErrorMessage="1" xr:uid="{00000000-0002-0000-0000-000004000000}">
          <x14:formula1>
            <xm:f>Assumptions!$A$43:$A$45</xm:f>
          </x14:formula1>
          <x14:formula2>
            <xm:f>0</xm:f>
          </x14:formula2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showGridLines="0" topLeftCell="A24" zoomScaleNormal="100" workbookViewId="0"/>
  </sheetViews>
  <sheetFormatPr defaultColWidth="8.7109375" defaultRowHeight="15" x14ac:dyDescent="0.25"/>
  <cols>
    <col min="1" max="1" width="40" customWidth="1"/>
    <col min="2" max="2" width="16" customWidth="1"/>
    <col min="3" max="5" width="14" customWidth="1"/>
    <col min="6" max="6" width="18" customWidth="1"/>
    <col min="7" max="8" width="12" customWidth="1"/>
    <col min="9" max="10" width="14" customWidth="1"/>
  </cols>
  <sheetData>
    <row r="1" spans="1:4" ht="18" x14ac:dyDescent="0.25">
      <c r="A1" s="1" t="s">
        <v>120</v>
      </c>
    </row>
    <row r="2" spans="1:4" x14ac:dyDescent="0.25">
      <c r="A2" s="2" t="s">
        <v>121</v>
      </c>
    </row>
    <row r="3" spans="1:4" x14ac:dyDescent="0.25">
      <c r="A3" s="3" t="s">
        <v>122</v>
      </c>
      <c r="B3" s="4"/>
      <c r="C3" s="4"/>
      <c r="D3" s="4"/>
    </row>
    <row r="4" spans="1:4" x14ac:dyDescent="0.25">
      <c r="A4" s="5" t="s">
        <v>123</v>
      </c>
      <c r="B4" s="26">
        <v>3</v>
      </c>
      <c r="C4" s="5" t="s">
        <v>56</v>
      </c>
      <c r="D4" s="2" t="s">
        <v>124</v>
      </c>
    </row>
    <row r="5" spans="1:4" x14ac:dyDescent="0.25">
      <c r="A5" s="5" t="s">
        <v>125</v>
      </c>
      <c r="B5" s="26">
        <v>2.5</v>
      </c>
      <c r="C5" s="5" t="s">
        <v>56</v>
      </c>
      <c r="D5" s="2" t="s">
        <v>124</v>
      </c>
    </row>
    <row r="6" spans="1:4" x14ac:dyDescent="0.25">
      <c r="A6" s="5" t="s">
        <v>126</v>
      </c>
      <c r="B6" s="26">
        <v>2</v>
      </c>
      <c r="C6" s="5" t="s">
        <v>56</v>
      </c>
      <c r="D6" s="2" t="s">
        <v>124</v>
      </c>
    </row>
    <row r="7" spans="1:4" x14ac:dyDescent="0.25">
      <c r="A7" s="5" t="s">
        <v>127</v>
      </c>
      <c r="B7" s="26">
        <v>0.6</v>
      </c>
      <c r="C7" s="5" t="s">
        <v>128</v>
      </c>
      <c r="D7" s="2" t="s">
        <v>129</v>
      </c>
    </row>
    <row r="8" spans="1:4" x14ac:dyDescent="0.25">
      <c r="A8" s="5" t="s">
        <v>130</v>
      </c>
      <c r="B8" s="26">
        <v>2</v>
      </c>
      <c r="C8" s="5" t="s">
        <v>56</v>
      </c>
      <c r="D8" s="2" t="s">
        <v>124</v>
      </c>
    </row>
    <row r="9" spans="1:4" x14ac:dyDescent="0.25">
      <c r="A9" s="5" t="s">
        <v>131</v>
      </c>
      <c r="B9" s="26">
        <v>8</v>
      </c>
      <c r="C9" s="5" t="s">
        <v>56</v>
      </c>
      <c r="D9" s="2" t="s">
        <v>124</v>
      </c>
    </row>
    <row r="10" spans="1:4" x14ac:dyDescent="0.25">
      <c r="A10" s="5" t="s">
        <v>132</v>
      </c>
      <c r="B10" s="26">
        <v>1.36</v>
      </c>
      <c r="C10" s="5" t="s">
        <v>133</v>
      </c>
      <c r="D10" s="2" t="s">
        <v>134</v>
      </c>
    </row>
    <row r="11" spans="1:4" x14ac:dyDescent="0.25">
      <c r="A11" s="5" t="s">
        <v>135</v>
      </c>
      <c r="B11" s="27">
        <v>0.1</v>
      </c>
      <c r="C11" s="5" t="s">
        <v>136</v>
      </c>
      <c r="D11" s="2" t="s">
        <v>137</v>
      </c>
    </row>
    <row r="12" spans="1:4" x14ac:dyDescent="0.25">
      <c r="A12" s="5" t="s">
        <v>138</v>
      </c>
      <c r="B12" s="27">
        <v>0.05</v>
      </c>
      <c r="C12" s="5" t="s">
        <v>136</v>
      </c>
      <c r="D12" s="2" t="s">
        <v>124</v>
      </c>
    </row>
    <row r="13" spans="1:4" x14ac:dyDescent="0.25">
      <c r="A13" s="5" t="s">
        <v>139</v>
      </c>
      <c r="B13" s="26">
        <v>8.9600000000000009</v>
      </c>
      <c r="C13" s="5" t="s">
        <v>133</v>
      </c>
      <c r="D13" s="2" t="s">
        <v>140</v>
      </c>
    </row>
    <row r="14" spans="1:4" x14ac:dyDescent="0.25">
      <c r="A14" s="5" t="s">
        <v>141</v>
      </c>
      <c r="B14" s="26">
        <v>4</v>
      </c>
      <c r="C14" s="5" t="s">
        <v>63</v>
      </c>
      <c r="D14" s="2" t="s">
        <v>142</v>
      </c>
    </row>
    <row r="15" spans="1:4" x14ac:dyDescent="0.25">
      <c r="A15" s="5" t="s">
        <v>143</v>
      </c>
      <c r="B15" s="27">
        <v>0.05</v>
      </c>
      <c r="C15" s="5" t="s">
        <v>136</v>
      </c>
      <c r="D15" s="2" t="s">
        <v>144</v>
      </c>
    </row>
    <row r="16" spans="1:4" x14ac:dyDescent="0.25">
      <c r="A16" s="5" t="s">
        <v>145</v>
      </c>
      <c r="B16" s="26">
        <v>2.5</v>
      </c>
      <c r="C16" s="5" t="s">
        <v>146</v>
      </c>
      <c r="D16" s="2" t="s">
        <v>147</v>
      </c>
    </row>
    <row r="17" spans="1:10" x14ac:dyDescent="0.25">
      <c r="A17" s="5" t="s">
        <v>148</v>
      </c>
      <c r="B17" s="26">
        <v>1</v>
      </c>
      <c r="C17" s="5" t="s">
        <v>56</v>
      </c>
      <c r="D17" s="2" t="s">
        <v>149</v>
      </c>
    </row>
    <row r="18" spans="1:10" x14ac:dyDescent="0.25">
      <c r="A18" s="5" t="s">
        <v>150</v>
      </c>
      <c r="B18" s="28">
        <v>7000</v>
      </c>
      <c r="C18" s="5" t="s">
        <v>84</v>
      </c>
      <c r="D18" s="2" t="s">
        <v>124</v>
      </c>
    </row>
    <row r="19" spans="1:10" x14ac:dyDescent="0.25">
      <c r="A19" s="5" t="s">
        <v>151</v>
      </c>
      <c r="B19" s="28">
        <v>2500</v>
      </c>
      <c r="C19" s="5" t="s">
        <v>84</v>
      </c>
      <c r="D19" s="2" t="s">
        <v>124</v>
      </c>
    </row>
    <row r="20" spans="1:10" x14ac:dyDescent="0.25">
      <c r="A20" s="5" t="s">
        <v>152</v>
      </c>
      <c r="B20" s="26">
        <v>2</v>
      </c>
      <c r="C20" s="5" t="s">
        <v>56</v>
      </c>
      <c r="D20" s="2" t="s">
        <v>153</v>
      </c>
    </row>
    <row r="21" spans="1:10" x14ac:dyDescent="0.25">
      <c r="A21" s="3" t="s">
        <v>154</v>
      </c>
      <c r="B21" s="4"/>
      <c r="C21" s="4"/>
      <c r="D21" s="4"/>
    </row>
    <row r="22" spans="1:10" x14ac:dyDescent="0.25">
      <c r="A22" s="29" t="s">
        <v>155</v>
      </c>
      <c r="B22" s="29" t="s">
        <v>156</v>
      </c>
      <c r="C22" s="29" t="s">
        <v>157</v>
      </c>
      <c r="D22" s="29" t="s">
        <v>158</v>
      </c>
    </row>
    <row r="23" spans="1:10" x14ac:dyDescent="0.25">
      <c r="A23" s="26">
        <v>0</v>
      </c>
      <c r="B23" s="22">
        <v>1.5</v>
      </c>
      <c r="C23" s="22">
        <v>2</v>
      </c>
      <c r="D23" s="2" t="s">
        <v>159</v>
      </c>
    </row>
    <row r="24" spans="1:10" x14ac:dyDescent="0.25">
      <c r="A24" s="26">
        <v>16.010000000000002</v>
      </c>
      <c r="B24" s="22">
        <v>2.5</v>
      </c>
      <c r="C24" s="22">
        <v>3.5</v>
      </c>
    </row>
    <row r="25" spans="1:10" x14ac:dyDescent="0.25">
      <c r="A25" s="26">
        <v>32.01</v>
      </c>
      <c r="B25" s="22">
        <v>3</v>
      </c>
      <c r="C25" s="22">
        <v>4</v>
      </c>
    </row>
    <row r="26" spans="1:10" x14ac:dyDescent="0.25">
      <c r="A26" s="26">
        <v>60.01</v>
      </c>
      <c r="B26" s="22">
        <v>4</v>
      </c>
      <c r="C26" s="22">
        <v>6</v>
      </c>
    </row>
    <row r="29" spans="1:10" x14ac:dyDescent="0.25">
      <c r="A29" s="3" t="s">
        <v>160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ht="30" customHeight="1" x14ac:dyDescent="0.25">
      <c r="A30" s="14" t="s">
        <v>36</v>
      </c>
      <c r="B30" s="14" t="s">
        <v>161</v>
      </c>
      <c r="C30" s="14" t="s">
        <v>162</v>
      </c>
      <c r="D30" s="14" t="s">
        <v>163</v>
      </c>
      <c r="E30" s="14" t="s">
        <v>164</v>
      </c>
      <c r="F30" s="14" t="s">
        <v>165</v>
      </c>
      <c r="G30" s="14" t="s">
        <v>166</v>
      </c>
      <c r="H30" s="14" t="s">
        <v>167</v>
      </c>
      <c r="I30" s="14" t="s">
        <v>48</v>
      </c>
      <c r="J30" s="14" t="s">
        <v>168</v>
      </c>
    </row>
    <row r="31" spans="1:10" x14ac:dyDescent="0.25">
      <c r="A31" s="15" t="s">
        <v>19</v>
      </c>
      <c r="B31" s="22">
        <v>8</v>
      </c>
      <c r="C31" s="22">
        <v>8.5</v>
      </c>
      <c r="D31" s="22">
        <v>13</v>
      </c>
      <c r="E31" s="22">
        <v>21</v>
      </c>
      <c r="F31" s="16">
        <f>E31+2*$B$17</f>
        <v>23</v>
      </c>
      <c r="G31" s="22">
        <v>6.8</v>
      </c>
      <c r="H31" s="22">
        <v>1.6</v>
      </c>
      <c r="I31" s="30">
        <v>0.3</v>
      </c>
      <c r="J31" s="26">
        <v>1</v>
      </c>
    </row>
    <row r="32" spans="1:10" x14ac:dyDescent="0.25">
      <c r="A32" s="15" t="s">
        <v>169</v>
      </c>
      <c r="B32" s="22">
        <v>6</v>
      </c>
      <c r="C32" s="22">
        <v>6.5</v>
      </c>
      <c r="D32" s="22">
        <v>10</v>
      </c>
      <c r="E32" s="22">
        <v>17</v>
      </c>
      <c r="F32" s="16">
        <f>E32+2*$B$17</f>
        <v>19</v>
      </c>
      <c r="G32" s="22">
        <v>5.2</v>
      </c>
      <c r="H32" s="22">
        <v>1.6</v>
      </c>
      <c r="I32" s="30">
        <v>0.18</v>
      </c>
      <c r="J32" s="26">
        <v>0.75</v>
      </c>
    </row>
    <row r="33" spans="1:10" x14ac:dyDescent="0.25">
      <c r="A33" s="15" t="s">
        <v>170</v>
      </c>
      <c r="B33" s="22">
        <v>5</v>
      </c>
      <c r="C33" s="22">
        <v>5.5</v>
      </c>
      <c r="D33" s="22">
        <v>8</v>
      </c>
      <c r="E33" s="22">
        <v>15</v>
      </c>
      <c r="F33" s="16">
        <f>E33+2*$B$17</f>
        <v>17</v>
      </c>
      <c r="G33" s="22">
        <v>4.7</v>
      </c>
      <c r="H33" s="22">
        <v>1</v>
      </c>
      <c r="I33" s="30">
        <v>0.14000000000000001</v>
      </c>
      <c r="J33" s="26">
        <v>0.6</v>
      </c>
    </row>
    <row r="34" spans="1:10" x14ac:dyDescent="0.25">
      <c r="A34" s="2" t="s">
        <v>171</v>
      </c>
    </row>
    <row r="35" spans="1:10" x14ac:dyDescent="0.25">
      <c r="A35" s="3" t="s">
        <v>28</v>
      </c>
      <c r="B35" s="4"/>
      <c r="C35" s="4"/>
      <c r="D35" s="4"/>
    </row>
    <row r="36" spans="1:10" x14ac:dyDescent="0.25">
      <c r="A36" s="29" t="s">
        <v>172</v>
      </c>
      <c r="B36" s="29" t="s">
        <v>173</v>
      </c>
      <c r="C36" s="29" t="s">
        <v>174</v>
      </c>
      <c r="D36" s="29" t="s">
        <v>158</v>
      </c>
    </row>
    <row r="37" spans="1:10" x14ac:dyDescent="0.25">
      <c r="A37" s="15" t="s">
        <v>29</v>
      </c>
      <c r="B37" s="28">
        <v>2000</v>
      </c>
      <c r="C37" s="30">
        <v>0.08</v>
      </c>
      <c r="D37" s="2" t="s">
        <v>175</v>
      </c>
    </row>
    <row r="38" spans="1:10" x14ac:dyDescent="0.25">
      <c r="A38" s="15" t="s">
        <v>176</v>
      </c>
      <c r="B38" s="28">
        <v>3200</v>
      </c>
      <c r="C38" s="30">
        <v>0.04</v>
      </c>
      <c r="D38" s="2" t="s">
        <v>177</v>
      </c>
    </row>
    <row r="39" spans="1:10" x14ac:dyDescent="0.25">
      <c r="A39" s="15" t="s">
        <v>178</v>
      </c>
      <c r="B39" s="28">
        <v>2600</v>
      </c>
      <c r="C39" s="30">
        <v>0.03</v>
      </c>
      <c r="D39" s="2" t="s">
        <v>179</v>
      </c>
    </row>
    <row r="41" spans="1:10" x14ac:dyDescent="0.25">
      <c r="A41" s="3" t="s">
        <v>31</v>
      </c>
      <c r="B41" s="4"/>
      <c r="C41" s="4"/>
      <c r="D41" s="4"/>
    </row>
    <row r="42" spans="1:10" x14ac:dyDescent="0.25">
      <c r="A42" s="29" t="s">
        <v>172</v>
      </c>
      <c r="B42" s="29" t="s">
        <v>180</v>
      </c>
      <c r="C42" s="29" t="s">
        <v>158</v>
      </c>
    </row>
    <row r="43" spans="1:10" x14ac:dyDescent="0.25">
      <c r="A43" s="15" t="s">
        <v>32</v>
      </c>
      <c r="B43" s="30">
        <v>0.1</v>
      </c>
      <c r="C43" s="2" t="s">
        <v>181</v>
      </c>
    </row>
    <row r="44" spans="1:10" x14ac:dyDescent="0.25">
      <c r="A44" s="15" t="s">
        <v>182</v>
      </c>
      <c r="B44" s="30">
        <v>0.05</v>
      </c>
      <c r="C44" s="2" t="s">
        <v>183</v>
      </c>
    </row>
    <row r="45" spans="1:10" x14ac:dyDescent="0.25">
      <c r="A45" s="15" t="s">
        <v>184</v>
      </c>
      <c r="B45" s="30">
        <v>0.14000000000000001</v>
      </c>
      <c r="C45" s="2" t="s">
        <v>185</v>
      </c>
    </row>
    <row r="47" spans="1:10" x14ac:dyDescent="0.25">
      <c r="A47" s="3" t="s">
        <v>186</v>
      </c>
      <c r="B47" s="4"/>
      <c r="C47" s="4"/>
      <c r="D47" s="4"/>
    </row>
    <row r="48" spans="1:10" x14ac:dyDescent="0.25">
      <c r="A48" s="5" t="s">
        <v>187</v>
      </c>
      <c r="B48" s="22">
        <v>0.5</v>
      </c>
      <c r="C48" s="5" t="s">
        <v>56</v>
      </c>
      <c r="D48" s="2" t="s">
        <v>188</v>
      </c>
    </row>
    <row r="49" spans="1:4" x14ac:dyDescent="0.25">
      <c r="A49" s="5" t="s">
        <v>189</v>
      </c>
      <c r="B49" s="22">
        <v>20</v>
      </c>
      <c r="C49" s="5" t="s">
        <v>56</v>
      </c>
      <c r="D49" s="2" t="s">
        <v>190</v>
      </c>
    </row>
    <row r="50" spans="1:4" x14ac:dyDescent="0.25">
      <c r="A50" s="5" t="s">
        <v>191</v>
      </c>
      <c r="B50" s="22">
        <v>35</v>
      </c>
      <c r="C50" s="5" t="s">
        <v>56</v>
      </c>
      <c r="D50" s="2" t="s">
        <v>192</v>
      </c>
    </row>
    <row r="51" spans="1:4" x14ac:dyDescent="0.25">
      <c r="A51" s="5" t="s">
        <v>193</v>
      </c>
      <c r="B51" s="22">
        <v>25</v>
      </c>
      <c r="C51" s="5" t="s">
        <v>56</v>
      </c>
      <c r="D51" s="2" t="s">
        <v>194</v>
      </c>
    </row>
    <row r="53" spans="1:4" x14ac:dyDescent="0.25">
      <c r="A53" s="3" t="s">
        <v>195</v>
      </c>
      <c r="B53" s="4"/>
      <c r="C53" s="4"/>
      <c r="D53" s="4"/>
    </row>
    <row r="54" spans="1:4" x14ac:dyDescent="0.25">
      <c r="A54" s="5" t="s">
        <v>196</v>
      </c>
      <c r="B54" s="30">
        <v>2.5</v>
      </c>
      <c r="C54" s="5" t="s">
        <v>197</v>
      </c>
      <c r="D54" s="2" t="s">
        <v>198</v>
      </c>
    </row>
    <row r="55" spans="1:4" x14ac:dyDescent="0.25">
      <c r="A55" s="5" t="s">
        <v>199</v>
      </c>
      <c r="B55" s="30">
        <v>0.45</v>
      </c>
      <c r="C55" s="5" t="s">
        <v>197</v>
      </c>
      <c r="D55" s="2" t="s">
        <v>200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showGridLines="0" tabSelected="1" zoomScale="85" zoomScaleNormal="85" workbookViewId="0"/>
  </sheetViews>
  <sheetFormatPr defaultColWidth="8.7109375" defaultRowHeight="15" x14ac:dyDescent="0.25"/>
  <sheetData>
    <row r="1" spans="1:1" ht="18" x14ac:dyDescent="0.25">
      <c r="A1" s="1" t="s">
        <v>201</v>
      </c>
    </row>
    <row r="2" spans="1:1" x14ac:dyDescent="0.25">
      <c r="A2" s="2" t="s">
        <v>202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2" width="8" customWidth="1"/>
    <col min="3" max="5" width="14" customWidth="1"/>
    <col min="6" max="6" width="12" customWidth="1"/>
    <col min="7" max="7" width="14" customWidth="1"/>
    <col min="8" max="9" width="44" customWidth="1"/>
  </cols>
  <sheetData>
    <row r="1" spans="1:9" ht="18" x14ac:dyDescent="0.25">
      <c r="A1" s="1" t="s">
        <v>203</v>
      </c>
    </row>
    <row r="2" spans="1:9" x14ac:dyDescent="0.25">
      <c r="A2" s="2" t="s">
        <v>204</v>
      </c>
    </row>
    <row r="4" spans="1:9" ht="30" customHeight="1" x14ac:dyDescent="0.25">
      <c r="A4" s="31" t="s">
        <v>205</v>
      </c>
      <c r="B4" s="31" t="s">
        <v>36</v>
      </c>
      <c r="C4" s="31" t="s">
        <v>206</v>
      </c>
      <c r="D4" s="31" t="s">
        <v>207</v>
      </c>
      <c r="E4" s="31" t="s">
        <v>208</v>
      </c>
      <c r="F4" s="31" t="s">
        <v>209</v>
      </c>
      <c r="G4" s="31" t="s">
        <v>210</v>
      </c>
      <c r="H4" s="31" t="s">
        <v>211</v>
      </c>
      <c r="I4" s="31" t="s">
        <v>212</v>
      </c>
    </row>
    <row r="5" spans="1:9" ht="39.75" customHeight="1" x14ac:dyDescent="0.25">
      <c r="A5" s="15" t="s">
        <v>50</v>
      </c>
      <c r="B5" s="32" t="s">
        <v>19</v>
      </c>
      <c r="C5" s="5" t="s">
        <v>213</v>
      </c>
      <c r="D5" s="22">
        <v>32</v>
      </c>
      <c r="E5" s="22">
        <v>27</v>
      </c>
      <c r="F5" s="22">
        <v>3</v>
      </c>
      <c r="G5" s="22">
        <v>11</v>
      </c>
      <c r="H5" s="33" t="s">
        <v>214</v>
      </c>
      <c r="I5" s="34" t="s">
        <v>215</v>
      </c>
    </row>
    <row r="6" spans="1:9" ht="39.75" customHeight="1" x14ac:dyDescent="0.25">
      <c r="A6" s="15" t="s">
        <v>51</v>
      </c>
      <c r="B6" s="32" t="s">
        <v>169</v>
      </c>
      <c r="C6" s="5" t="s">
        <v>216</v>
      </c>
      <c r="D6" s="22">
        <v>28.5</v>
      </c>
      <c r="E6" s="22">
        <v>20</v>
      </c>
      <c r="F6" s="22">
        <v>2</v>
      </c>
      <c r="G6" s="22">
        <v>9</v>
      </c>
      <c r="H6" s="33" t="s">
        <v>217</v>
      </c>
      <c r="I6" s="34" t="s">
        <v>218</v>
      </c>
    </row>
    <row r="7" spans="1:9" ht="39.75" customHeight="1" x14ac:dyDescent="0.25">
      <c r="A7" s="15" t="s">
        <v>52</v>
      </c>
      <c r="B7" s="32" t="s">
        <v>170</v>
      </c>
      <c r="C7" s="5" t="s">
        <v>216</v>
      </c>
      <c r="D7" s="22">
        <v>28.5</v>
      </c>
      <c r="E7" s="22">
        <v>17.5</v>
      </c>
      <c r="F7" s="22">
        <v>2</v>
      </c>
      <c r="G7" s="22">
        <v>9</v>
      </c>
      <c r="H7" s="33" t="s">
        <v>219</v>
      </c>
      <c r="I7" s="34" t="s">
        <v>220</v>
      </c>
    </row>
    <row r="9" spans="1:9" x14ac:dyDescent="0.25">
      <c r="A9" s="2" t="s">
        <v>221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Estimator</vt:lpstr>
      <vt:lpstr>Assumptions</vt:lpstr>
      <vt:lpstr>Assumption Diagram</vt:lpstr>
      <vt:lpstr>Fuse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Manor</cp:lastModifiedBy>
  <cp:revision>0</cp:revision>
  <dcterms:created xsi:type="dcterms:W3CDTF">2026-10-07T19:05:48Z</dcterms:created>
  <dcterms:modified xsi:type="dcterms:W3CDTF">2026-10-15T14:42:59Z</dcterms:modified>
  <dc:language>en-US</dc:language>
</cp:coreProperties>
</file>