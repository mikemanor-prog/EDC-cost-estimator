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13236" windowWidth="23256" windowHeight="13896" tabRatio="500" firstSheet="0" activeTab="2" autoFilterDateGrouping="1"/>
  </bookViews>
  <sheets>
    <sheet xmlns:r="http://schemas.openxmlformats.org/officeDocument/2006/relationships" name="Estimator" sheetId="1" state="visible" r:id="rId1"/>
    <sheet xmlns:r="http://schemas.openxmlformats.org/officeDocument/2006/relationships" name="Layout" sheetId="2" state="visible" r:id="rId2"/>
    <sheet xmlns:r="http://schemas.openxmlformats.org/officeDocument/2006/relationships" name="Busbar Sizer" sheetId="3" state="visible" r:id="rId3"/>
    <sheet xmlns:r="http://schemas.openxmlformats.org/officeDocument/2006/relationships" name="Assumptions" sheetId="4" state="visible" r:id="rId4"/>
    <sheet xmlns:r="http://schemas.openxmlformats.org/officeDocument/2006/relationships" name="Assumption Diagram" sheetId="5" state="visible" r:id="rId5"/>
    <sheet xmlns:r="http://schemas.openxmlformats.org/officeDocument/2006/relationships" name="Fuse Library" sheetId="6" state="visible" r:id="rId6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6">
    <numFmt numFmtId="164" formatCode="0.0"/>
    <numFmt numFmtId="165" formatCode="\$0.00"/>
    <numFmt numFmtId="166" formatCode="0.0%"/>
    <numFmt numFmtId="167" formatCode="$0.00"/>
    <numFmt numFmtId="168" formatCode="0.00000"/>
    <numFmt numFmtId="169" formatCode="0.000"/>
  </numFmts>
  <fonts count="16">
    <font>
      <name val="Calibri"/>
      <charset val="1"/>
      <family val="2"/>
      <color theme="1"/>
      <sz val="11"/>
    </font>
    <font>
      <name val="Arial"/>
      <charset val="1"/>
      <b val="1"/>
      <sz val="14"/>
    </font>
    <font>
      <name val="Arial"/>
      <charset val="1"/>
      <i val="1"/>
      <color rgb="FF595959"/>
      <sz val="9"/>
    </font>
    <font>
      <name val="Arial"/>
      <charset val="1"/>
      <b val="1"/>
      <color rgb="FFFFFFFF"/>
      <sz val="10"/>
    </font>
    <font>
      <name val="Arial"/>
      <charset val="1"/>
      <sz val="10"/>
    </font>
    <font>
      <name val="Arial"/>
      <charset val="1"/>
      <color rgb="FF0000FF"/>
      <sz val="10"/>
    </font>
    <font>
      <name val="Arial"/>
      <charset val="1"/>
      <b val="1"/>
      <sz val="10"/>
    </font>
    <font>
      <name val="Arial"/>
      <b val="1"/>
      <color rgb="00FFFFFF"/>
      <sz val="10"/>
    </font>
    <font>
      <name val="Arial"/>
      <sz val="10"/>
    </font>
    <font>
      <name val="Arial"/>
      <color rgb="000000FF"/>
      <sz val="10"/>
    </font>
    <font>
      <name val="Arial"/>
      <color rgb="00595959"/>
      <sz val="9"/>
    </font>
    <font>
      <name val="Arial"/>
      <b val="1"/>
      <sz val="14"/>
    </font>
    <font>
      <name val="Arial"/>
      <b val="1"/>
      <sz val="10"/>
    </font>
    <font>
      <name val="Arial"/>
      <i val="1"/>
      <color rgb="00595959"/>
      <sz val="9"/>
    </font>
    <font>
      <name val="Arial"/>
      <color rgb="00008000"/>
      <sz val="10"/>
    </font>
    <font>
      <name val="Arial"/>
      <sz val="9"/>
    </font>
  </fonts>
  <fills count="10">
    <fill>
      <patternFill/>
    </fill>
    <fill>
      <patternFill patternType="gray125"/>
    </fill>
    <fill>
      <patternFill patternType="solid">
        <fgColor rgb="FF1F3A4D"/>
        <bgColor rgb="FF003366"/>
      </patternFill>
    </fill>
    <fill>
      <patternFill patternType="solid">
        <fgColor rgb="FFFFF9C4"/>
        <bgColor rgb="FFFFFF99"/>
      </patternFill>
    </fill>
    <fill>
      <patternFill patternType="solid">
        <fgColor rgb="FFE8F3E8"/>
        <bgColor rgb="FFDCE6EC"/>
      </patternFill>
    </fill>
    <fill>
      <patternFill patternType="solid">
        <fgColor rgb="FFDCE6EC"/>
        <bgColor rgb="FFE8F3E8"/>
      </patternFill>
    </fill>
    <fill>
      <patternFill patternType="solid">
        <fgColor rgb="001F3A4D"/>
      </patternFill>
    </fill>
    <fill>
      <patternFill patternType="solid">
        <fgColor rgb="00FFF9C4"/>
      </patternFill>
    </fill>
    <fill>
      <patternFill patternType="solid">
        <fgColor rgb="00DCE6EC"/>
      </patternFill>
    </fill>
    <fill>
      <patternFill patternType="solid">
        <fgColor rgb="00E8F3E8"/>
      </patternFill>
    </fill>
  </fills>
  <borders count="3">
    <border>
      <left/>
      <right/>
      <top/>
      <bottom/>
      <diagonal/>
    </border>
    <border>
      <left style="thin">
        <color rgb="FFB0B7BC"/>
      </left>
      <right style="thin">
        <color rgb="FFB0B7BC"/>
      </right>
      <top style="thin">
        <color rgb="FFB0B7BC"/>
      </top>
      <bottom style="thin">
        <color rgb="FFB0B7BC"/>
      </bottom>
      <diagonal/>
    </border>
    <border>
      <left style="thin">
        <color rgb="00B7BFCB"/>
      </left>
      <right style="thin">
        <color rgb="00B7BFCB"/>
      </right>
      <top style="thin">
        <color rgb="00B7BFCB"/>
      </top>
      <bottom style="thin">
        <color rgb="00B7BFCB"/>
      </bottom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0" borderId="0" pivotButton="0" quotePrefix="0" xfId="0"/>
    <xf numFmtId="164" fontId="5" fillId="3" borderId="1" pivotButton="0" quotePrefix="0" xfId="0"/>
    <xf numFmtId="0" fontId="6" fillId="4" borderId="0" pivotButton="0" quotePrefix="0" xfId="0"/>
    <xf numFmtId="165" fontId="6" fillId="4" borderId="0" applyAlignment="1" pivotButton="0" quotePrefix="0" xfId="0">
      <alignment horizontal="right"/>
    </xf>
    <xf numFmtId="1" fontId="5" fillId="3" borderId="1" pivotButton="0" quotePrefix="0" xfId="0"/>
    <xf numFmtId="0" fontId="6" fillId="4" borderId="0" applyAlignment="1" pivotButton="0" quotePrefix="0" xfId="0">
      <alignment horizontal="right"/>
    </xf>
    <xf numFmtId="164" fontId="6" fillId="4" borderId="0" applyAlignment="1" pivotButton="0" quotePrefix="0" xfId="0">
      <alignment horizontal="right"/>
    </xf>
    <xf numFmtId="165" fontId="5" fillId="3" borderId="1" pivotButton="0" quotePrefix="0" xfId="0"/>
    <xf numFmtId="0" fontId="5" fillId="3" borderId="1" pivotButton="0" quotePrefix="0" xfId="0"/>
    <xf numFmtId="0" fontId="6" fillId="5" borderId="0" applyAlignment="1" pivotButton="0" quotePrefix="0" xfId="0">
      <alignment vertical="top" wrapText="1"/>
    </xf>
    <xf numFmtId="0" fontId="6" fillId="0" borderId="0" pivotButton="0" quotePrefix="0" xfId="0"/>
    <xf numFmtId="164" fontId="4" fillId="0" borderId="0" pivotButton="0" quotePrefix="0" xfId="0"/>
    <xf numFmtId="1" fontId="4" fillId="0" borderId="0" pivotButton="0" quotePrefix="0" xfId="0"/>
    <xf numFmtId="2" fontId="4" fillId="0" borderId="0" pivotButton="0" quotePrefix="0" xfId="0"/>
    <xf numFmtId="165" fontId="4" fillId="0" borderId="0" pivotButton="0" quotePrefix="0" xfId="0"/>
    <xf numFmtId="1" fontId="6" fillId="0" borderId="0" pivotButton="0" quotePrefix="0" xfId="0"/>
    <xf numFmtId="164" fontId="6" fillId="0" borderId="0" pivotButton="0" quotePrefix="0" xfId="0"/>
    <xf numFmtId="164" fontId="5" fillId="3" borderId="0" pivotButton="0" quotePrefix="0" xfId="0"/>
    <xf numFmtId="165" fontId="6" fillId="0" borderId="0" pivotButton="0" quotePrefix="0" xfId="0"/>
    <xf numFmtId="3" fontId="4" fillId="0" borderId="0" pivotButton="0" quotePrefix="0" xfId="0"/>
    <xf numFmtId="165" fontId="6" fillId="4" borderId="1" pivotButton="0" quotePrefix="0" xfId="0"/>
    <xf numFmtId="2" fontId="5" fillId="3" borderId="0" pivotButton="0" quotePrefix="0" xfId="0"/>
    <xf numFmtId="166" fontId="5" fillId="3" borderId="0" pivotButton="0" quotePrefix="0" xfId="0"/>
    <xf numFmtId="3" fontId="5" fillId="3" borderId="0" pivotButton="0" quotePrefix="0" xfId="0"/>
    <xf numFmtId="0" fontId="6" fillId="5" borderId="0" pivotButton="0" quotePrefix="0" xfId="0"/>
    <xf numFmtId="165" fontId="5" fillId="3" borderId="0" pivotButton="0" quotePrefix="0" xfId="0"/>
    <xf numFmtId="0" fontId="3" fillId="2" borderId="0" applyAlignment="1" pivotButton="0" quotePrefix="0" xfId="0">
      <alignment vertical="top" wrapText="1"/>
    </xf>
    <xf numFmtId="0" fontId="5" fillId="3" borderId="0" pivotButton="0" quotePrefix="0" xfId="0"/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3" fillId="0" borderId="0" pivotButton="0" quotePrefix="0" xfId="0"/>
    <xf numFmtId="1" fontId="6" fillId="4" borderId="0" applyAlignment="1" pivotButton="0" quotePrefix="0" xfId="0">
      <alignment horizontal="right"/>
    </xf>
    <xf numFmtId="0" fontId="11" fillId="0" borderId="0" pivotButton="0" quotePrefix="0" xfId="0"/>
    <xf numFmtId="0" fontId="10" fillId="0" borderId="0" pivotButton="0" quotePrefix="0" xfId="0"/>
    <xf numFmtId="0" fontId="7" fillId="6" borderId="0" pivotButton="0" quotePrefix="0" xfId="0"/>
    <xf numFmtId="0" fontId="0" fillId="6" borderId="0" pivotButton="0" quotePrefix="0" xfId="0"/>
    <xf numFmtId="0" fontId="12" fillId="8" borderId="2" applyAlignment="1" pivotButton="0" quotePrefix="0" xfId="0">
      <alignment horizontal="left" wrapText="1"/>
    </xf>
    <xf numFmtId="0" fontId="12" fillId="8" borderId="2" applyAlignment="1" pivotButton="0" quotePrefix="0" xfId="0">
      <alignment horizontal="center" wrapText="1"/>
    </xf>
    <xf numFmtId="0" fontId="8" fillId="0" borderId="0" pivotButton="0" quotePrefix="0" xfId="0"/>
    <xf numFmtId="0" fontId="9" fillId="7" borderId="2" pivotButton="0" quotePrefix="0" xfId="0"/>
    <xf numFmtId="164" fontId="9" fillId="7" borderId="2" pivotButton="0" quotePrefix="0" xfId="0"/>
    <xf numFmtId="1" fontId="9" fillId="7" borderId="2" pivotButton="0" quotePrefix="0" xfId="0"/>
    <xf numFmtId="1" fontId="8" fillId="0" borderId="0" pivotButton="0" quotePrefix="0" xfId="0"/>
    <xf numFmtId="164" fontId="8" fillId="0" borderId="0" pivotButton="0" quotePrefix="0" xfId="0"/>
    <xf numFmtId="167" fontId="8" fillId="0" borderId="0" pivotButton="0" quotePrefix="0" xfId="0"/>
    <xf numFmtId="2" fontId="8" fillId="0" borderId="0" pivotButton="0" quotePrefix="0" xfId="0"/>
    <xf numFmtId="1" fontId="12" fillId="0" borderId="0" pivotButton="0" quotePrefix="0" xfId="0"/>
    <xf numFmtId="164" fontId="12" fillId="0" borderId="0" pivotButton="0" quotePrefix="0" xfId="0"/>
    <xf numFmtId="167" fontId="12" fillId="0" borderId="0" pivotButton="0" quotePrefix="0" xfId="0"/>
    <xf numFmtId="2" fontId="12" fillId="0" borderId="0" pivotButton="0" quotePrefix="0" xfId="0"/>
    <xf numFmtId="2" fontId="9" fillId="7" borderId="2" pivotButton="0" quotePrefix="0" xfId="0"/>
    <xf numFmtId="167" fontId="14" fillId="0" borderId="0" pivotButton="0" quotePrefix="0" xfId="0"/>
    <xf numFmtId="2" fontId="8" fillId="0" borderId="2" pivotButton="0" quotePrefix="0" xfId="0"/>
    <xf numFmtId="164" fontId="8" fillId="0" borderId="2" pivotButton="0" quotePrefix="0" xfId="0"/>
    <xf numFmtId="167" fontId="8" fillId="0" borderId="2" pivotButton="0" quotePrefix="0" xfId="0"/>
    <xf numFmtId="0" fontId="8" fillId="0" borderId="2" pivotButton="0" quotePrefix="0" xfId="0"/>
    <xf numFmtId="0" fontId="12" fillId="0" borderId="0" pivotButton="0" quotePrefix="0" xfId="0"/>
    <xf numFmtId="164" fontId="12" fillId="9" borderId="0" pivotButton="0" quotePrefix="0" xfId="0"/>
    <xf numFmtId="9" fontId="9" fillId="7" borderId="2" pivotButton="0" quotePrefix="0" xfId="0"/>
    <xf numFmtId="164" fontId="14" fillId="7" borderId="2" pivotButton="0" quotePrefix="0" xfId="0"/>
    <xf numFmtId="168" fontId="9" fillId="7" borderId="2" pivotButton="0" quotePrefix="0" xfId="0"/>
    <xf numFmtId="169" fontId="8" fillId="0" borderId="0" pivotButton="0" quotePrefix="0" xfId="0"/>
    <xf numFmtId="0" fontId="15" fillId="0" borderId="0" pivotButton="0" quotePrefix="0" xfId="0"/>
    <xf numFmtId="164" fontId="15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7BC"/>
      <rgbColor rgb="FF808080"/>
      <rgbColor rgb="FF9999FF"/>
      <rgbColor rgb="FF993366"/>
      <rgbColor rgb="FFFFF9C4"/>
      <rgbColor rgb="FFE8F3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EC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3A4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Copper cost vs stock thickness</a:t>
            </a:r>
          </a:p>
        </rich>
      </tx>
    </title>
    <plotArea>
      <scatterChart>
        <scatterStyle val="lineMarker"/>
        <ser>
          <idx val="0"/>
          <order val="0"/>
          <tx>
            <v>Cost ($)</v>
          </tx>
          <spPr>
            <a:ln xmlns:a="http://schemas.openxmlformats.org/drawingml/2006/main" w="28575">
              <a:solidFill>
                <a:srgbClr val="2F6FA8"/>
              </a:solidFill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2F6FA8"/>
              </a:solidFill>
              <a:ln xmlns:a="http://schemas.openxmlformats.org/drawingml/2006/main">
                <a:solidFill>
                  <a:srgbClr val="2F6FA8"/>
                </a:solidFill>
                <a:prstDash val="solid"/>
              </a:ln>
            </spPr>
          </marker>
          <xVal>
            <numRef>
              <f>'Busbar Sizer'!$A$26:$A$37</f>
              <numCache>
                <formatCode>General</formatCode>
                <ptCount val="12"/>
                <pt idx="0">
                  <v>0.8</v>
                </pt>
                <pt idx="1">
                  <v>1.0</v>
                </pt>
                <pt idx="2">
                  <v>1.2</v>
                </pt>
                <pt idx="3">
                  <v>1.5</v>
                </pt>
                <pt idx="4">
                  <v>2.0</v>
                </pt>
                <pt idx="5">
                  <v>2.5</v>
                </pt>
                <pt idx="6">
                  <v>3.0</v>
                </pt>
                <pt idx="7">
                  <v>4.0</v>
                </pt>
                <pt idx="8">
                  <v>5.0</v>
                </pt>
              </numCache>
            </numRef>
          </xVal>
          <yVal>
            <numRef>
              <f>'Busbar Sizer'!$G$26:$G$37</f>
              <numCache>
                <formatCode>General</formatCode>
                <ptCount val="12"/>
                <pt idx="0">
                  <v>0.736824783737838</v>
                </pt>
                <pt idx="1">
                  <v>0.810529722119094</v>
                </pt>
                <pt idx="2">
                  <v>0.875545878922897</v>
                </pt>
                <pt idx="3">
                  <v>0.961057265971222</v>
                </pt>
                <pt idx="4">
                  <v>1.08058355501757</v>
                </pt>
                <pt idx="5">
                  <v>1.17954545782335</v>
                </pt>
                <pt idx="6">
                  <v>1.26325909229049</v>
                </pt>
                <pt idx="7">
                  <v>1.39653493529321</v>
                </pt>
                <pt idx="8">
                  <v>1.49541004111824</v>
                </pt>
              </numCache>
            </numRef>
          </yVal>
          <smooth val="0"/>
        </ser>
        <axId val="10"/>
        <axId val="20"/>
      </scatterChart>
      <valAx>
        <axId val="1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Stock thickness (mm)</a:t>
                </a:r>
              </a:p>
            </rich>
          </tx>
        </title>
        <numFmt formatCode="0.0" sourceLinked="0"/>
        <majorTickMark val="none"/>
        <minorTickMark val="none"/>
        <crossAx val="20"/>
      </valAx>
      <valAx>
        <axId val="2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Copper cost ($)</a:t>
                </a:r>
              </a:p>
            </rich>
          </tx>
        </title>
        <numFmt formatCode="$0.00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9</col>
      <colOff>0</colOff>
      <row>3</row>
      <rowOff>0</rowOff>
    </from>
    <ext cx="61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2</row>
      <rowOff>160920</rowOff>
    </from>
    <to>
      <col>15</col>
      <colOff>352080</colOff>
      <row>34</row>
      <rowOff>131760</rowOff>
    </to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571680"/>
          <a:ext cx="9524520" cy="606708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0</col>
      <colOff>0</colOff>
      <row>36</row>
      <rowOff>160560</rowOff>
    </from>
    <to>
      <col>15</col>
      <colOff>352080</colOff>
      <row>60</row>
      <rowOff>102960</rowOff>
    </to>
    <pic>
      <nvPicPr>
        <cNvPr id="3" name="Image 2" descr="Picture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0" y="7048440"/>
          <a:ext cx="9524520" cy="451440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8"/>
  <sheetViews>
    <sheetView showGridLines="0" topLeftCell="A9" zoomScaleNormal="100" workbookViewId="0">
      <selection activeCell="A28" sqref="A28"/>
    </sheetView>
  </sheetViews>
  <sheetFormatPr baseColWidth="8" defaultColWidth="8.7109375" defaultRowHeight="15"/>
  <cols>
    <col width="40" customWidth="1" min="1" max="1"/>
    <col width="16" customWidth="1" min="2" max="2"/>
    <col width="12" customWidth="1" min="3" max="3"/>
    <col width="22" customWidth="1" min="4" max="4"/>
    <col width="20" customWidth="1" min="5" max="5"/>
    <col width="12" customWidth="1" min="6" max="10"/>
    <col width="8" customWidth="1" min="11" max="11"/>
    <col width="12" customWidth="1" min="12" max="15"/>
  </cols>
  <sheetData>
    <row r="1" ht="18" customHeight="1">
      <c r="A1" s="1" t="inlineStr">
        <is>
          <t>Battery Fuse Block Cost Estimator</t>
        </is>
      </c>
    </row>
    <row r="2">
      <c r="A2" s="2" t="inlineStr">
        <is>
          <t>Blue text on yellow = input. Placeholder assumptions live on the Assumptions sheet. Dimensions in mm, mass in g, cost in $. Example values are filled in.</t>
        </is>
      </c>
    </row>
    <row r="3">
      <c r="A3" s="35" t="inlineStr">
        <is>
          <t>Revision v1.9: busbar thickness limited to copper mill stock sizes (Assumptions A83:A94). Builds on v1.8.</t>
        </is>
      </c>
    </row>
    <row r="4">
      <c r="A4" s="3" t="inlineStr">
        <is>
          <t>INPUTS</t>
        </is>
      </c>
      <c r="B4" s="4" t="n"/>
      <c r="C4" s="4" t="n"/>
      <c r="D4" s="3" t="inlineStr">
        <is>
          <t>RESULT</t>
        </is>
      </c>
      <c r="E4" s="4" t="n"/>
    </row>
    <row r="5">
      <c r="A5" s="5" t="inlineStr">
        <is>
          <t>System voltage</t>
        </is>
      </c>
      <c r="B5" s="6" t="n">
        <v>12</v>
      </c>
      <c r="C5" s="2" t="inlineStr">
        <is>
          <t>V</t>
        </is>
      </c>
      <c r="D5" s="7" t="inlineStr">
        <is>
          <t>Part cost ($)</t>
        </is>
      </c>
      <c r="E5" s="8">
        <f>B86</f>
        <v>7.83699218944249</v>
      </c>
    </row>
    <row r="6">
      <c r="A6" s="5" t="inlineStr">
        <is>
          <t>Expected load on B+ input</t>
        </is>
      </c>
      <c r="B6" s="9" t="n">
        <v>300</v>
      </c>
      <c r="C6" s="2" t="inlineStr">
        <is>
          <t>A</t>
        </is>
      </c>
      <c r="D6" s="7" t="inlineStr">
        <is>
          <t>Base L x W x H (mm)</t>
        </is>
      </c>
      <c r="E6" s="10" t="str">
        <f>TEXT(B38,"0.0")&amp;" x "&amp;TEXT(B36,"0.0")&amp;" x "&amp;TEXT(B40,"0.0")</f>
        <v>74.8 x 196.0 x 45.5</v>
      </c>
    </row>
    <row r="7">
      <c r="A7" s="5" t="inlineStr">
        <is>
          <t>Copper thickness</t>
        </is>
      </c>
      <c r="B7" s="6" t="n">
        <v>2</v>
      </c>
      <c r="C7" s="2" t="inlineStr">
        <is>
          <t>mm, mill stock (Assumptions A83:A94)</t>
        </is>
      </c>
      <c r="D7" s="7" t="inlineStr">
        <is>
          <t>Plastic mass (g)</t>
        </is>
      </c>
      <c r="E7" s="11">
        <f>B88</f>
        <v>267.458238710793</v>
      </c>
    </row>
    <row r="8">
      <c r="A8" s="5" t="inlineStr">
        <is>
          <t>Plastic price (PA66-GF30)</t>
        </is>
      </c>
      <c r="B8" s="12" t="n">
        <v>5.5</v>
      </c>
      <c r="C8" s="2" t="inlineStr">
        <is>
          <t>$/kg</t>
        </is>
      </c>
      <c r="D8" s="7" t="inlineStr">
        <is>
          <t>Copper mass (g)</t>
        </is>
      </c>
      <c r="E8" s="11">
        <f>B48</f>
        <v>94.8893399595781</v>
      </c>
    </row>
    <row r="9">
      <c r="A9" s="5" t="inlineStr">
        <is>
          <t>Copper price</t>
        </is>
      </c>
      <c r="B9" s="12" t="n">
        <v>11</v>
      </c>
      <c r="C9" s="2" t="inlineStr">
        <is>
          <t>$/kg</t>
        </is>
      </c>
      <c r="D9" s="7" t="inlineStr">
        <is>
          <t>Bus width (mm)</t>
        </is>
      </c>
      <c r="E9" s="11">
        <f>B28</f>
        <v>34.8054381512051</v>
      </c>
    </row>
    <row r="10">
      <c r="A10" s="5" t="inlineStr">
        <is>
          <t>B+ stud size</t>
        </is>
      </c>
      <c r="B10" s="13" t="inlineStr">
        <is>
          <t>M8</t>
        </is>
      </c>
      <c r="C10" s="2" t="inlineStr">
        <is>
          <t>M8, M6 or M5</t>
        </is>
      </c>
      <c r="D10" s="7" t="inlineStr">
        <is>
          <t>Bus width set by</t>
        </is>
      </c>
      <c r="E10" s="10" t="str">
        <f>B29</f>
        <v>Temperature limit</v>
      </c>
    </row>
    <row r="11">
      <c r="A11" s="5" t="inlineStr">
        <is>
          <t>B+ studs under the cover</t>
        </is>
      </c>
      <c r="B11" s="9" t="n">
        <v>1</v>
      </c>
      <c r="C11" s="2" t="inlineStr">
        <is>
          <t>count</t>
        </is>
      </c>
      <c r="D11" s="7" t="inlineStr">
        <is>
          <t>Cover L x W (mm)</t>
        </is>
      </c>
      <c r="E11" s="10" t="str">
        <f>TEXT(E65,"0.0")&amp;" x "&amp;TEXT(E66,"0.0")</f>
        <v>104.8 x 221.0</v>
      </c>
    </row>
    <row r="12">
      <c r="A12" s="5" t="inlineStr">
        <is>
          <t>B+ connection and cover exit</t>
        </is>
      </c>
      <c r="B12" s="13" t="inlineStr">
        <is>
          <t>Eyelet 90 degree</t>
        </is>
      </c>
      <c r="C12" s="2" t="inlineStr">
        <is>
          <t>see list</t>
        </is>
      </c>
      <c r="D12" s="7" t="inlineStr">
        <is>
          <t>Keepout zones included</t>
        </is>
      </c>
      <c r="E12" s="36">
        <f>Layout!B75</f>
        <v>1</v>
      </c>
    </row>
    <row r="13">
      <c r="A13" s="5" t="inlineStr">
        <is>
          <t>Bolt retention method</t>
        </is>
      </c>
      <c r="B13" s="13" t="inlineStr">
        <is>
          <t>Over-molded</t>
        </is>
      </c>
      <c r="C13" s="2" t="inlineStr">
        <is>
          <t>list</t>
        </is>
      </c>
      <c r="D13" s="7" t="inlineStr">
        <is>
          <t>Fits battery length?</t>
        </is>
      </c>
      <c r="E13" s="10" t="str">
        <f>Layout!B86</f>
        <v>No limit</v>
      </c>
    </row>
    <row r="14">
      <c r="A14" s="5" t="inlineStr">
        <is>
          <t>Busbar to bolt joining method</t>
        </is>
      </c>
      <c r="B14" s="13" t="inlineStr">
        <is>
          <t>Bolted both sides</t>
        </is>
      </c>
      <c r="C14" s="2" t="inlineStr">
        <is>
          <t>list</t>
        </is>
      </c>
      <c r="D14" s="7" t="inlineStr">
        <is>
          <t>Fits battery depth?</t>
        </is>
      </c>
      <c r="E14" s="10" t="str">
        <f>Layout!B87</f>
        <v>No limit</v>
      </c>
    </row>
    <row r="15">
      <c r="A15" s="5" t="inlineStr">
        <is>
          <t>Ambient temperature</t>
        </is>
      </c>
      <c r="B15" s="9" t="n">
        <v>105</v>
      </c>
      <c r="C15" s="2" t="inlineStr">
        <is>
          <t>C (underhood 105, interior 85)</t>
        </is>
      </c>
      <c r="D15" s="7" t="inlineStr">
        <is>
          <t>Bus temperature at load</t>
        </is>
      </c>
      <c r="E15" s="10" t="str">
        <f>TEXT(B31,"0.0")&amp;" C, limit "&amp;TEXT(Assumptions!B69,"0")&amp;" C"&amp;IF(B31&gt;Assumptions!B69+0.05,"  OVER","")</f>
        <v>150.0 C, limit 150 C</v>
      </c>
    </row>
    <row r="16">
      <c r="A16" s="3" t="inlineStr">
        <is>
          <t>FUSES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</row>
    <row r="17" ht="27.75" customHeight="1">
      <c r="A17" s="14" t="inlineStr">
        <is>
          <t>Fuse type</t>
        </is>
      </c>
      <c r="B17" s="14" t="inlineStr">
        <is>
          <t>Qty</t>
        </is>
      </c>
      <c r="C17" s="14" t="inlineStr">
        <is>
          <t>Bolt</t>
        </is>
      </c>
      <c r="D17" s="14" t="inlineStr">
        <is>
          <t>Hole pitch</t>
        </is>
      </c>
      <c r="E17" s="14" t="inlineStr">
        <is>
          <t>Body width</t>
        </is>
      </c>
      <c r="F17" s="14" t="inlineStr">
        <is>
          <t>Tab thk</t>
        </is>
      </c>
      <c r="G17" s="14" t="inlineStr">
        <is>
          <t>Fuse height</t>
        </is>
      </c>
      <c r="H17" s="14" t="inlineStr">
        <is>
          <t>Slot pitch</t>
        </is>
      </c>
      <c r="I17" s="14" t="inlineStr">
        <is>
          <t>Min bus width</t>
        </is>
      </c>
      <c r="J17" s="14" t="inlineStr">
        <is>
          <t>Stack height</t>
        </is>
      </c>
      <c r="K17" s="14" t="inlineStr">
        <is>
          <t>Used</t>
        </is>
      </c>
      <c r="L17" s="14" t="inlineStr">
        <is>
          <t>Wall need</t>
        </is>
      </c>
      <c r="M17" s="14" t="inlineStr">
        <is>
          <t>Length past input stud</t>
        </is>
      </c>
      <c r="N17" s="14" t="inlineStr">
        <is>
          <t>Boss factor</t>
        </is>
      </c>
      <c r="O17" s="14" t="inlineStr">
        <is>
          <t>Hardware $/bolt</t>
        </is>
      </c>
      <c r="P17" s="14" t="inlineStr">
        <is>
          <t>Rear need</t>
        </is>
      </c>
    </row>
    <row r="18">
      <c r="A18" s="15" t="inlineStr">
        <is>
          <t>MEGA (M8)</t>
        </is>
      </c>
      <c r="B18" s="9" t="n">
        <v>2</v>
      </c>
      <c r="C18" s="5" t="str">
        <f>INDEX('Fuse Library'!$B$5:$B$7,MATCH($A18,'Fuse Library'!$A$5:$A$7,0))</f>
        <v>M8</v>
      </c>
      <c r="D18" s="16">
        <f>INDEX('Fuse Library'!$D$5:$D$7,MATCH($A18,'Fuse Library'!$A$5:$A$7,0))</f>
        <v>32</v>
      </c>
      <c r="E18" s="16">
        <f>INDEX('Fuse Library'!$E$5:$E$7,MATCH($A18,'Fuse Library'!$A$5:$A$7,0))</f>
        <v>27</v>
      </c>
      <c r="F18" s="16">
        <f>INDEX('Fuse Library'!$F$5:$F$7,MATCH($A18,'Fuse Library'!$A$5:$A$7,0))</f>
        <v>3</v>
      </c>
      <c r="G18" s="16">
        <f>INDEX('Fuse Library'!$G$5:$G$7,MATCH($A18,'Fuse Library'!$A$5:$A$7,0))</f>
        <v>11</v>
      </c>
      <c r="H18" s="16">
        <f>Layout!F12</f>
        <v>29</v>
      </c>
      <c r="I18" s="16">
        <f>Assumptions!$B$16*INDEX(Assumptions!$B$31:$B$33,MATCH(C18,Assumptions!$A$31:$A$33,0))</f>
        <v>20</v>
      </c>
      <c r="J18" s="16">
        <f>$B$7+F18+Assumptions!$B$20+INDEX(Assumptions!$H$31:$H$33,MATCH(C18,Assumptions!$A$31:$A$33,0))+INDEX(Assumptions!$G$31:$G$33,MATCH(C18,Assumptions!$A$31:$A$33,0))</f>
        <v>15.4</v>
      </c>
      <c r="K18" s="17">
        <f>IF(B18&gt;0,1,0)</f>
        <v>1</v>
      </c>
      <c r="L18" s="16">
        <f>MAX(G18,J18)</f>
        <v>15.4</v>
      </c>
      <c r="M18" s="16">
        <f>D18+INDEX(Assumptions!$F$31:$F$33,MATCH(C18,Assumptions!$A$31:$A$33,0))/2+Assumptions!$B$5</f>
        <v>46</v>
      </c>
      <c r="N18" s="18">
        <f>INDEX(Assumptions!$J$31:$J$33,MATCH(C18,Assumptions!$A$31:$A$33,0))</f>
        <v>1</v>
      </c>
      <c r="O18" s="19">
        <f>INDEX(Assumptions!$I$31:$I$33,MATCH(C18,Assumptions!$A$31:$A$33,0))</f>
        <v>0.3</v>
      </c>
      <c r="P18" s="16">
        <f>INDEX(Assumptions!$F$31:$F$33,MATCH(C18,Assumptions!$A$31:$A$33,0))/2+Assumptions!$B$5</f>
        <v>14</v>
      </c>
    </row>
    <row r="19">
      <c r="A19" s="15" t="inlineStr">
        <is>
          <t>MIDI (M6)</t>
        </is>
      </c>
      <c r="B19" s="9" t="n">
        <v>1</v>
      </c>
      <c r="C19" s="5" t="str">
        <f>INDEX('Fuse Library'!$B$5:$B$7,MATCH($A19,'Fuse Library'!$A$5:$A$7,0))</f>
        <v>M6</v>
      </c>
      <c r="D19" s="16">
        <f>INDEX('Fuse Library'!$D$5:$D$7,MATCH($A19,'Fuse Library'!$A$5:$A$7,0))</f>
        <v>28.5</v>
      </c>
      <c r="E19" s="16">
        <f>INDEX('Fuse Library'!$E$5:$E$7,MATCH($A19,'Fuse Library'!$A$5:$A$7,0))</f>
        <v>20</v>
      </c>
      <c r="F19" s="16">
        <f>INDEX('Fuse Library'!$F$5:$F$7,MATCH($A19,'Fuse Library'!$A$5:$A$7,0))</f>
        <v>2</v>
      </c>
      <c r="G19" s="16">
        <f>INDEX('Fuse Library'!$G$5:$G$7,MATCH($A19,'Fuse Library'!$A$5:$A$7,0))</f>
        <v>9</v>
      </c>
      <c r="H19" s="16">
        <f>Layout!F13</f>
        <v>22</v>
      </c>
      <c r="I19" s="16">
        <f>Assumptions!$B$16*INDEX(Assumptions!$B$31:$B$33,MATCH(C19,Assumptions!$A$31:$A$33,0))</f>
        <v>15</v>
      </c>
      <c r="J19" s="16">
        <f>$B$7+F19+Assumptions!$B$20+INDEX(Assumptions!$H$31:$H$33,MATCH(C19,Assumptions!$A$31:$A$33,0))+INDEX(Assumptions!$G$31:$G$33,MATCH(C19,Assumptions!$A$31:$A$33,0))</f>
        <v>12.8</v>
      </c>
      <c r="K19" s="17">
        <f>IF(B19&gt;0,1,0)</f>
        <v>1</v>
      </c>
      <c r="L19" s="16">
        <f>MAX(G19,J19)</f>
        <v>12.8</v>
      </c>
      <c r="M19" s="16">
        <f>D19+INDEX(Assumptions!$F$31:$F$33,MATCH(C19,Assumptions!$A$31:$A$33,0))/2+Assumptions!$B$5</f>
        <v>40.5</v>
      </c>
      <c r="N19" s="18">
        <f>INDEX(Assumptions!$J$31:$J$33,MATCH(C19,Assumptions!$A$31:$A$33,0))</f>
        <v>0.75</v>
      </c>
      <c r="O19" s="19">
        <f>INDEX(Assumptions!$I$31:$I$33,MATCH(C19,Assumptions!$A$31:$A$33,0))</f>
        <v>0.18</v>
      </c>
      <c r="P19" s="16">
        <f>INDEX(Assumptions!$F$31:$F$33,MATCH(C19,Assumptions!$A$31:$A$33,0))/2+Assumptions!$B$5</f>
        <v>12</v>
      </c>
    </row>
    <row r="20">
      <c r="A20" s="15" t="inlineStr">
        <is>
          <t>MIDI (M5)</t>
        </is>
      </c>
      <c r="B20" s="9" t="n">
        <v>2</v>
      </c>
      <c r="C20" s="5" t="str">
        <f>INDEX('Fuse Library'!$B$5:$B$7,MATCH($A20,'Fuse Library'!$A$5:$A$7,0))</f>
        <v>M5</v>
      </c>
      <c r="D20" s="16">
        <f>INDEX('Fuse Library'!$D$5:$D$7,MATCH($A20,'Fuse Library'!$A$5:$A$7,0))</f>
        <v>28.5</v>
      </c>
      <c r="E20" s="16">
        <f>INDEX('Fuse Library'!$E$5:$E$7,MATCH($A20,'Fuse Library'!$A$5:$A$7,0))</f>
        <v>17.5</v>
      </c>
      <c r="F20" s="16">
        <f>INDEX('Fuse Library'!$F$5:$F$7,MATCH($A20,'Fuse Library'!$A$5:$A$7,0))</f>
        <v>2</v>
      </c>
      <c r="G20" s="16">
        <f>INDEX('Fuse Library'!$G$5:$G$7,MATCH($A20,'Fuse Library'!$A$5:$A$7,0))</f>
        <v>9</v>
      </c>
      <c r="H20" s="16">
        <f>Layout!F14</f>
        <v>19.5</v>
      </c>
      <c r="I20" s="16">
        <f>Assumptions!$B$16*INDEX(Assumptions!$B$31:$B$33,MATCH(C20,Assumptions!$A$31:$A$33,0))</f>
        <v>12.5</v>
      </c>
      <c r="J20" s="16">
        <f>$B$7+F20+Assumptions!$B$20+INDEX(Assumptions!$H$31:$H$33,MATCH(C20,Assumptions!$A$31:$A$33,0))+INDEX(Assumptions!$G$31:$G$33,MATCH(C20,Assumptions!$A$31:$A$33,0))</f>
        <v>11.7</v>
      </c>
      <c r="K20" s="17">
        <f>IF(B20&gt;0,1,0)</f>
        <v>1</v>
      </c>
      <c r="L20" s="16">
        <f>MAX(G20,J20)</f>
        <v>11.7</v>
      </c>
      <c r="M20" s="16">
        <f>D20+INDEX(Assumptions!$F$31:$F$33,MATCH(C20,Assumptions!$A$31:$A$33,0))/2+Assumptions!$B$5</f>
        <v>39.5</v>
      </c>
      <c r="N20" s="18">
        <f>INDEX(Assumptions!$J$31:$J$33,MATCH(C20,Assumptions!$A$31:$A$33,0))</f>
        <v>0.6</v>
      </c>
      <c r="O20" s="19">
        <f>INDEX(Assumptions!$I$31:$I$33,MATCH(C20,Assumptions!$A$31:$A$33,0))</f>
        <v>0.14</v>
      </c>
      <c r="P20" s="16">
        <f>INDEX(Assumptions!$F$31:$F$33,MATCH(C20,Assumptions!$A$31:$A$33,0))/2+Assumptions!$B$5</f>
        <v>11</v>
      </c>
    </row>
    <row r="21">
      <c r="A21" s="15" t="inlineStr">
        <is>
          <t>Total fuse positions</t>
        </is>
      </c>
      <c r="B21" s="20">
        <f>SUM(B18:B20)</f>
        <v>5</v>
      </c>
    </row>
    <row r="23">
      <c r="A23" s="3" t="inlineStr">
        <is>
          <t>CLEARANCES AND BUS SIZING</t>
        </is>
      </c>
      <c r="B23" s="4" t="n"/>
      <c r="C23" s="4" t="n"/>
    </row>
    <row r="24">
      <c r="A24" s="5" t="inlineStr">
        <is>
          <t>Required clearance</t>
        </is>
      </c>
      <c r="B24" s="16">
        <f>INDEX(Assumptions!$B$23:$B$26,MATCH($B$5,Assumptions!$A$23:$A$26,1))</f>
        <v>1.5</v>
      </c>
      <c r="C24" s="2" t="inlineStr">
        <is>
          <t>mm</t>
        </is>
      </c>
    </row>
    <row r="25">
      <c r="A25" s="5" t="inlineStr">
        <is>
          <t>Required creepage</t>
        </is>
      </c>
      <c r="B25" s="16">
        <f>INDEX(Assumptions!$C$23:$C$26,MATCH($B$5,Assumptions!$A$23:$A$26,1))</f>
        <v>2</v>
      </c>
      <c r="C25" s="2" t="inlineStr">
        <is>
          <t>mm</t>
        </is>
      </c>
    </row>
    <row r="26">
      <c r="A26" s="5" t="inlineStr">
        <is>
          <t>Bus width needed for the current (by the sizing method)</t>
        </is>
      </c>
      <c r="B26" s="16">
        <f>IF(Assumptions!$B$80="Current density",Layout!$B$101,Layout!$B$107)</f>
        <v>34.8054381512051</v>
      </c>
      <c r="C26" s="2" t="inlineStr">
        <is>
          <t>mm</t>
        </is>
      </c>
    </row>
    <row r="27">
      <c r="A27" s="5" t="inlineStr">
        <is>
          <t>Bus width needed for the bolts</t>
        </is>
      </c>
      <c r="B27" s="16">
        <f>MAX(SUMPRODUCT(MAX($K$18:$K$20*$I$18:$I$20)),Assumptions!$B$16*INDEX(Assumptions!$B$31:$B$33,MATCH($B$10,Assumptions!$A$31:$A$33,0)))</f>
        <v>20</v>
      </c>
      <c r="C27" s="2" t="inlineStr">
        <is>
          <t>mm</t>
        </is>
      </c>
    </row>
    <row r="28">
      <c r="A28" s="15" t="inlineStr">
        <is>
          <t>Bus width used</t>
        </is>
      </c>
      <c r="B28" s="21">
        <f>MAX(B26,B27)</f>
        <v>34.8054381512051</v>
      </c>
      <c r="C28" s="2" t="inlineStr">
        <is>
          <t>mm</t>
        </is>
      </c>
    </row>
    <row r="29">
      <c r="A29" s="5" t="inlineStr">
        <is>
          <t>Bus width is set by</t>
        </is>
      </c>
      <c r="B29" s="5" t="str">
        <f>IF(B26&gt;=B27,IF(Assumptions!$B$80="Current density","Current load","Temperature limit"),"Bolt size")</f>
        <v>Temperature limit</v>
      </c>
    </row>
    <row r="30">
      <c r="A30" s="5" t="inlineStr">
        <is>
          <t>Resulting current density</t>
        </is>
      </c>
      <c r="B30" s="18">
        <f>B6/(B28*B7)</f>
        <v>4.30967136079011</v>
      </c>
      <c r="C30" s="2" t="inlineStr">
        <is>
          <t>A/mm2</t>
        </is>
      </c>
    </row>
    <row r="31">
      <c r="A31" s="5" t="inlineStr">
        <is>
          <t>Estimated bus temperature at load</t>
        </is>
      </c>
      <c r="B31" s="16">
        <f>B15+Assumptions!$B$62*(B6/(Assumptions!$B$58*Assumptions!$B$63*Assumptions!$B$73*(B28*B7)^Assumptions!$B$59*(2*(B28+B7))^Assumptions!$B$60))^(1/Assumptions!$B$61)</f>
        <v>150</v>
      </c>
      <c r="C31" s="2" t="inlineStr">
        <is>
          <t>C</t>
        </is>
      </c>
    </row>
    <row r="32">
      <c r="A32" s="3" t="inlineStr">
        <is>
          <t>BLOCK SIZE</t>
        </is>
      </c>
      <c r="B32" s="4" t="n"/>
      <c r="C32" s="4" t="n"/>
    </row>
    <row r="33">
      <c r="A33" s="5" t="inlineStr">
        <is>
          <t>Fuse positions</t>
        </is>
      </c>
      <c r="B33" s="17">
        <f>B21</f>
        <v>5</v>
      </c>
    </row>
    <row r="34">
      <c r="A34" s="5" t="inlineStr">
        <is>
          <t>Long-side fuse slots width</t>
        </is>
      </c>
      <c r="B34" s="16">
        <f>Layout!B54</f>
        <v>119</v>
      </c>
      <c r="C34" s="2" t="inlineStr">
        <is>
          <t>mm</t>
        </is>
      </c>
    </row>
    <row r="35">
      <c r="A35" s="5" t="inlineStr">
        <is>
          <t>B+ stud section width</t>
        </is>
      </c>
      <c r="B35" s="16">
        <f>B11*(INDEX(Assumptions!$F$31:$F$33,MATCH($B$10,Assumptions!$A$31:$A$33,0))+Assumptions!$B$6)</f>
        <v>25</v>
      </c>
      <c r="C35" s="2" t="inlineStr">
        <is>
          <t>mm</t>
        </is>
      </c>
    </row>
    <row r="36">
      <c r="A36" s="15" t="inlineStr">
        <is>
          <t>Base width</t>
        </is>
      </c>
      <c r="B36" s="21">
        <f>MAX(B34+Layout!B90+Layout!B76+IF(Layout!B6="Opposite B+",Layout!B64,0)+2*Assumptions!$B$5,Layout!B77-Assumptions!$B$6+2*Assumptions!$B$5)</f>
        <v>196</v>
      </c>
      <c r="C36" s="2" t="inlineStr">
        <is>
          <t>mm</t>
        </is>
      </c>
    </row>
    <row r="37">
      <c r="A37" s="5" t="inlineStr">
        <is>
          <t>Wall height</t>
        </is>
      </c>
      <c r="B37" s="16">
        <f>SUMPRODUCT(MAX($K$18:$K$20*$L$18:$L$20))</f>
        <v>15.4</v>
      </c>
      <c r="C37" s="2" t="inlineStr">
        <is>
          <t>mm</t>
        </is>
      </c>
    </row>
    <row r="38">
      <c r="A38" s="15" t="inlineStr">
        <is>
          <t>Base length</t>
        </is>
      </c>
      <c r="B38" s="21">
        <f>MAX(Layout!B61+SUMPRODUCT(MAX((Layout!G12:G14&gt;0)*$M$18:$M$20)),INDEX(Assumptions!$F$31:$F$33,MATCH($B$10,Assumptions!$A$31:$A$33,0))+2*Assumptions!$B$5+Layout!B60,Layout!B68,Layout!B78)</f>
        <v>74.8054381512051</v>
      </c>
      <c r="C38" s="2" t="inlineStr">
        <is>
          <t>mm</t>
        </is>
      </c>
    </row>
    <row r="39">
      <c r="A39" s="5" t="inlineStr">
        <is>
          <t>Divider height (meets creepage)</t>
        </is>
      </c>
      <c r="B39" s="16">
        <f>MIN(B37,MAX(Assumptions!$B$7*B37,B25))</f>
        <v>9.24</v>
      </c>
      <c r="C39" s="2" t="inlineStr">
        <is>
          <t>mm</t>
        </is>
      </c>
    </row>
    <row r="40">
      <c r="A40" s="5" t="inlineStr">
        <is>
          <t>Overall height with cover (incl. zone bump-out)</t>
        </is>
      </c>
      <c r="B40" s="16">
        <f>Assumptions!$B$4+MAX(B37,Layout!B79)+Assumptions!$B$8</f>
        <v>45.5</v>
      </c>
      <c r="C40" s="2" t="inlineStr">
        <is>
          <t>mm</t>
        </is>
      </c>
    </row>
    <row r="41">
      <c r="A41" s="5" t="inlineStr">
        <is>
          <t>Divider count</t>
        </is>
      </c>
      <c r="B41" s="17">
        <f>Layout!B72</f>
        <v>6</v>
      </c>
    </row>
    <row r="43">
      <c r="A43" s="3" t="inlineStr">
        <is>
          <t>COPPER</t>
        </is>
      </c>
      <c r="B43" s="4" t="n"/>
      <c r="C43" s="4" t="n"/>
    </row>
    <row r="44">
      <c r="A44" s="5" t="inlineStr">
        <is>
          <t>Bus length (along the row plus the short-side bar incl. lap)</t>
        </is>
      </c>
      <c r="B44" s="16">
        <f>Layout!B66+Layout!B92</f>
        <v>140.5</v>
      </c>
      <c r="C44" s="2" t="inlineStr">
        <is>
          <t>mm</t>
        </is>
      </c>
    </row>
    <row r="45">
      <c r="A45" s="5" t="inlineStr">
        <is>
          <t>Bus mass</t>
        </is>
      </c>
      <c r="B45" s="16">
        <f>B44*B28*B7*Assumptions!$B$13/1000</f>
        <v>87.6317399595781</v>
      </c>
      <c r="C45" s="2" t="inlineStr">
        <is>
          <t>g</t>
        </is>
      </c>
    </row>
    <row r="46">
      <c r="A46" s="5" t="inlineStr">
        <is>
          <t>Output side copper (none, cable lugs sit on the fuse terminals)</t>
        </is>
      </c>
      <c r="B46" s="22" t="n">
        <v>0</v>
      </c>
      <c r="C46" s="2" t="inlineStr">
        <is>
          <t>g</t>
        </is>
      </c>
    </row>
    <row r="47">
      <c r="A47" s="5" t="inlineStr">
        <is>
          <t>Keepout zone branch copper</t>
        </is>
      </c>
      <c r="B47" s="16">
        <f>Layout!B82</f>
        <v>7.2576</v>
      </c>
      <c r="C47" s="2" t="inlineStr">
        <is>
          <t>g</t>
        </is>
      </c>
    </row>
    <row r="48">
      <c r="A48" s="5" t="inlineStr">
        <is>
          <t>Copper total</t>
        </is>
      </c>
      <c r="B48" s="16">
        <f>B45+B46+B47</f>
        <v>94.8893399595781</v>
      </c>
      <c r="C48" s="2" t="inlineStr">
        <is>
          <t>g</t>
        </is>
      </c>
    </row>
    <row r="49">
      <c r="A49" s="5" t="inlineStr">
        <is>
          <t>Copper cost (part plus blank scrap)</t>
        </is>
      </c>
      <c r="B49" s="16">
        <f>(B48*(1+Assumptions!$B$15)+Layout!B96*(1-Assumptions!$B$66))/1000*B9</f>
        <v>1.09597187653313</v>
      </c>
    </row>
    <row r="50">
      <c r="A50" s="3" t="inlineStr">
        <is>
          <t>PLASTIC BASE</t>
        </is>
      </c>
      <c r="B50" s="4" t="n"/>
      <c r="C50" s="4" t="n"/>
    </row>
    <row r="51">
      <c r="A51" s="5" t="inlineStr">
        <is>
          <t>Bolts retained in the base</t>
        </is>
      </c>
      <c r="B51" s="17">
        <f>2*B33+B11+Layout!B81</f>
        <v>13</v>
      </c>
    </row>
    <row r="52">
      <c r="A52" s="5" t="inlineStr">
        <is>
          <t>Boss volume for retention method</t>
        </is>
      </c>
      <c r="B52" s="24">
        <f>INDEX(Assumptions!$B$37:$B$39,MATCH(B13,Assumptions!$A$37:$A$39,0))*(2*SUMPRODUCT(B18:B20,N18:N20)+B11*INDEX(Assumptions!$J$31:$J$33,MATCH($B$10,Assumptions!$A$31:$A$33,0))+Layout!B84)</f>
        <v>20800</v>
      </c>
      <c r="C52" s="2" t="inlineStr">
        <is>
          <t>mm3</t>
        </is>
      </c>
    </row>
    <row r="53">
      <c r="A53" s="5" t="inlineStr">
        <is>
          <t>Floor volume</t>
        </is>
      </c>
      <c r="B53" s="24">
        <f>B38*B36*Assumptions!$B$4</f>
        <v>43985.5976329086</v>
      </c>
      <c r="C53" s="2" t="inlineStr">
        <is>
          <t>mm3</t>
        </is>
      </c>
    </row>
    <row r="54">
      <c r="A54" s="5" t="inlineStr">
        <is>
          <t>Wall volume</t>
        </is>
      </c>
      <c r="B54" s="24">
        <f>2*(B38+B36-2*Assumptions!$B$5)*Assumptions!$B$5*B37</f>
        <v>20467.0187376428</v>
      </c>
      <c r="C54" s="2" t="inlineStr">
        <is>
          <t>mm3</t>
        </is>
      </c>
    </row>
    <row r="55">
      <c r="A55" s="5" t="inlineStr">
        <is>
          <t>Divider volume (total divider length x thickness x height)</t>
        </is>
      </c>
      <c r="B55" s="24">
        <f>Layout!B71*Assumptions!$B$6*B39</f>
        <v>7740.02698220562</v>
      </c>
      <c r="C55" s="2" t="inlineStr">
        <is>
          <t>mm3</t>
        </is>
      </c>
    </row>
    <row r="56">
      <c r="A56" s="5" t="inlineStr">
        <is>
          <t>Raw volume</t>
        </is>
      </c>
      <c r="B56" s="24">
        <f>B52+B53+B54+B55</f>
        <v>92992.643352757</v>
      </c>
      <c r="C56" s="2" t="inlineStr">
        <is>
          <t>mm3</t>
        </is>
      </c>
    </row>
    <row r="57">
      <c r="A57" s="5" t="inlineStr">
        <is>
          <t>Molded volume with allowances</t>
        </is>
      </c>
      <c r="B57" s="24">
        <f>B56*(1+Assumptions!$B$11)*(1+Assumptions!$B$12)</f>
        <v>107406.503072434</v>
      </c>
      <c r="C57" s="2" t="inlineStr">
        <is>
          <t>mm3</t>
        </is>
      </c>
    </row>
    <row r="58">
      <c r="A58" s="5" t="inlineStr">
        <is>
          <t>Base mass</t>
        </is>
      </c>
      <c r="B58" s="16">
        <f>B57/1000*Assumptions!$B$10</f>
        <v>146.072844178511</v>
      </c>
      <c r="C58" s="2" t="inlineStr">
        <is>
          <t>g</t>
        </is>
      </c>
    </row>
    <row r="59">
      <c r="A59" s="15" t="inlineStr">
        <is>
          <t>Base plastic cost</t>
        </is>
      </c>
      <c r="B59" s="23">
        <f>B58/1000*B8</f>
        <v>0.803400642981809</v>
      </c>
    </row>
    <row r="61">
      <c r="A61" s="3" t="inlineStr">
        <is>
          <t>COVER</t>
        </is>
      </c>
      <c r="B61" s="4" t="n"/>
      <c r="C61" s="4" t="n"/>
      <c r="D61" s="3" t="inlineStr">
        <is>
          <t>COVER SIZE</t>
        </is>
      </c>
      <c r="E61" s="4" t="n"/>
    </row>
    <row r="62">
      <c r="A62" s="5" t="inlineStr">
        <is>
          <t>Top plate volume</t>
        </is>
      </c>
      <c r="B62" s="24">
        <f>E65*E66*Assumptions!$B$8</f>
        <v>46324.0036628326</v>
      </c>
      <c r="C62" s="2" t="inlineStr">
        <is>
          <t>mm3</t>
        </is>
      </c>
      <c r="D62" s="5" t="inlineStr">
        <is>
          <t>Overhang each side (mm)</t>
        </is>
      </c>
      <c r="E62" s="16">
        <f>Assumptions!$B$8+Assumptions!$B$48</f>
        <v>2.5</v>
      </c>
    </row>
    <row r="63">
      <c r="A63" s="5" t="inlineStr">
        <is>
          <t>Skirt volume (incl. output-side drop)</t>
        </is>
      </c>
      <c r="B63" s="24">
        <f>2*(E65+E66-2*Assumptions!$B$8)*Assumptions!$B$8*Assumptions!$B$9+Assumptions!$B$77*Assumptions!$B$8*(IF(Layout!B52&gt;0,E66+2*E64,0)+IF(Layout!B51&gt;0,E65+2*E64,0))</f>
        <v>21137.7740208386</v>
      </c>
      <c r="C63" s="2" t="inlineStr">
        <is>
          <t>mm3</t>
        </is>
      </c>
      <c r="D63" s="5" t="inlineStr">
        <is>
          <t>B+ end extension (mm)</t>
        </is>
      </c>
      <c r="E63" s="16">
        <f>IF(AND(B11&gt;0,B12&lt;&gt;"Battery terminal"),IF(B12="Eyelet 90 degree",Assumptions!$B$49,Assumptions!$B$50),0)</f>
        <v>20</v>
      </c>
    </row>
    <row r="64">
      <c r="A64" s="5" t="inlineStr">
        <is>
          <t>B+ eyelet hood volume</t>
        </is>
      </c>
      <c r="B64" s="24">
        <f>IF(B12="Battery terminal",0,B11*IF(B12="Eyelet 90 degree",Assumptions!$B$18,Assumptions!$B$19))</f>
        <v>7000</v>
      </c>
      <c r="C64" s="2" t="inlineStr">
        <is>
          <t>mm3</t>
        </is>
      </c>
      <c r="D64" s="5" t="inlineStr">
        <is>
          <t>Output side extension (mm)</t>
        </is>
      </c>
      <c r="E64" s="16">
        <f>Assumptions!$B$51</f>
        <v>25</v>
      </c>
    </row>
    <row r="65">
      <c r="A65" s="5" t="inlineStr">
        <is>
          <t>Cover volume with scrap (incl. zone bump-out)</t>
        </is>
      </c>
      <c r="B65" s="24">
        <f>(B62+B63+B64+Layout!B80)*(1+Assumptions!$B$12)</f>
        <v>89253.9665678548</v>
      </c>
      <c r="C65" s="2" t="inlineStr">
        <is>
          <t>mm3</t>
        </is>
      </c>
      <c r="D65" s="15" t="inlineStr">
        <is>
          <t>Cover length (mm)</t>
        </is>
      </c>
      <c r="E65" s="21">
        <f>B38+2*E62+E64</f>
        <v>104.805438151205</v>
      </c>
    </row>
    <row r="66">
      <c r="A66" s="5" t="inlineStr">
        <is>
          <t>Cover mass</t>
        </is>
      </c>
      <c r="B66" s="16">
        <f>B65/1000*Assumptions!$B$10</f>
        <v>121.385394532282</v>
      </c>
      <c r="C66" s="2" t="inlineStr">
        <is>
          <t>g</t>
        </is>
      </c>
      <c r="D66" s="15" t="inlineStr">
        <is>
          <t>Cover width (mm)</t>
        </is>
      </c>
      <c r="E66" s="21">
        <f>B36+2*E62+IF(AND(Layout!B51&gt;0,Layout!B6="B+ end"),MAX(E63,E64),E63+IF(Layout!B51&gt;0,E64,0))</f>
        <v>221</v>
      </c>
    </row>
    <row r="67">
      <c r="A67" s="15" t="inlineStr">
        <is>
          <t>Cover plastic cost</t>
        </is>
      </c>
      <c r="B67" s="23">
        <f>B66/1000*B8</f>
        <v>0.667619669927554</v>
      </c>
      <c r="D67" s="15" t="inlineStr">
        <is>
          <t>Output skirt below base floor (mm)</t>
        </is>
      </c>
      <c r="E67" s="21">
        <f>MAX(0,Assumptions!$B$9+Assumptions!$B$77-(Assumptions!$B$4+B37))</f>
        <v>9.6</v>
      </c>
    </row>
    <row r="69">
      <c r="A69" t="inlineStr">
        <is>
          <t>HARDWARE AND PROCESS ADDERS</t>
        </is>
      </c>
    </row>
    <row r="70">
      <c r="A70" s="5" t="inlineStr">
        <is>
          <t>Fuse bolt and nut hardware</t>
        </is>
      </c>
      <c r="B70">
        <f>2*SUMPRODUCT(B18:B20,O18:O20)</f>
        <v>2.12</v>
      </c>
    </row>
    <row r="71">
      <c r="A71" s="5" t="inlineStr">
        <is>
          <t>Retention method adder (fuse, B+ and zone studs)</t>
        </is>
      </c>
      <c r="B71">
        <f>B51*INDEX(Assumptions!$C$37:$C$39,MATCH(B13,Assumptions!$A$37:$A$39,0))</f>
        <v>1.04</v>
      </c>
    </row>
    <row r="72">
      <c r="A72" s="5" t="inlineStr">
        <is>
          <t>Joining method adder (fuse, B+ and zone studs)</t>
        </is>
      </c>
      <c r="B72">
        <f>B51*INDEX(Assumptions!$B$43:$B$45,MATCH(B14,Assumptions!$A$43:$A$45,0))</f>
        <v>1.3</v>
      </c>
    </row>
    <row r="73">
      <c r="A73" s="5" t="inlineStr">
        <is>
          <t>B+ connection part (battery terminal or M8 stud)</t>
        </is>
      </c>
      <c r="B73">
        <f>IF(B12="Battery terminal",B11*Assumptions!$B$54,B11*Assumptions!$B$55)</f>
        <v>0.45</v>
      </c>
    </row>
    <row r="74">
      <c r="A74" s="5" t="inlineStr">
        <is>
          <t>Keepout zone stud hardware</t>
        </is>
      </c>
      <c r="B74">
        <f>Layout!B83</f>
        <v>0.36</v>
      </c>
    </row>
    <row r="75">
      <c r="A75" s="5" t="inlineStr">
        <is>
          <t>Keepout zone laser weld joints</t>
        </is>
      </c>
      <c r="B75">
        <f>Layout!B85</f>
        <v>0</v>
      </c>
    </row>
    <row r="76">
      <c r="A76" s="5" t="inlineStr">
        <is>
          <t>Short-side bus joint</t>
        </is>
      </c>
      <c r="B76">
        <f>Layout!B97</f>
        <v>0</v>
      </c>
    </row>
    <row r="77">
      <c r="A77" t="inlineStr">
        <is>
          <t>PART COST</t>
        </is>
      </c>
    </row>
    <row r="78">
      <c r="A78" s="5" t="inlineStr">
        <is>
          <t>Plastic base</t>
        </is>
      </c>
      <c r="B78">
        <f>B59</f>
        <v>0.803400642981809</v>
      </c>
    </row>
    <row r="79">
      <c r="A79" s="5" t="inlineStr">
        <is>
          <t>Cover</t>
        </is>
      </c>
      <c r="B79">
        <f>B67</f>
        <v>0.667619669927554</v>
      </c>
    </row>
    <row r="80">
      <c r="A80" s="5" t="inlineStr">
        <is>
          <t>Copper</t>
        </is>
      </c>
      <c r="B80">
        <f>B49</f>
        <v>1.09597187653313</v>
      </c>
    </row>
    <row r="81">
      <c r="A81" s="5" t="inlineStr">
        <is>
          <t>Fuse bolt and nut hardware</t>
        </is>
      </c>
      <c r="B81">
        <f>B70</f>
        <v>2.12</v>
      </c>
    </row>
    <row r="82">
      <c r="A82" s="5" t="inlineStr">
        <is>
          <t>B+ connection part</t>
        </is>
      </c>
      <c r="B82">
        <f>B73</f>
        <v>0.45</v>
      </c>
    </row>
    <row r="83">
      <c r="A83" s="5" t="inlineStr">
        <is>
          <t>Retention adder</t>
        </is>
      </c>
      <c r="B83">
        <f>B71</f>
        <v>1.04</v>
      </c>
    </row>
    <row r="84">
      <c r="A84" s="5" t="inlineStr">
        <is>
          <t>Joining adder</t>
        </is>
      </c>
      <c r="B84">
        <f>B72</f>
        <v>1.3</v>
      </c>
    </row>
    <row r="85">
      <c r="A85" s="5" t="inlineStr">
        <is>
          <t>Zone hardware, welds and bus joint</t>
        </is>
      </c>
      <c r="B85">
        <f>B74+B75+B76</f>
        <v>0.36</v>
      </c>
    </row>
    <row r="86">
      <c r="A86" s="5" t="inlineStr">
        <is>
          <t>Total part cost</t>
        </is>
      </c>
      <c r="B86">
        <f>SUM(B78:B85)</f>
        <v>7.83699218944249</v>
      </c>
    </row>
    <row r="87">
      <c r="A87" s="5" t="inlineStr">
        <is>
          <t>Cost per fuse position</t>
        </is>
      </c>
      <c r="B87">
        <f>B86/B33</f>
        <v>1.5673984378885</v>
      </c>
    </row>
    <row r="88">
      <c r="A88" s="5" t="inlineStr">
        <is>
          <t>Total plastic mass (base and cover)</t>
        </is>
      </c>
      <c r="B88" s="16">
        <f>B58+B66</f>
        <v>267.458238710793</v>
      </c>
      <c r="C88" s="2" t="inlineStr">
        <is>
          <t>g</t>
        </is>
      </c>
    </row>
  </sheetData>
  <dataValidations count="6">
    <dataValidation sqref="B10" showDropDown="0" showInputMessage="0" showErrorMessage="1" allowBlank="0" type="list">
      <formula1>"M8,M6,M5"</formula1>
      <formula2>0</formula2>
    </dataValidation>
    <dataValidation sqref="B12" showDropDown="0" showInputMessage="0" showErrorMessage="1" allowBlank="0" type="list">
      <formula1>"Eyelet 90 degree,Eyelet flat,Battery terminal"</formula1>
      <formula2>0</formula2>
    </dataValidation>
    <dataValidation sqref="B11 B18:B20" showDropDown="0" showInputMessage="0" showErrorMessage="1" allowBlank="0" error="Enter a whole number, 0 or more." type="whole" operator="greaterThanOrEqual">
      <formula1>0</formula1>
      <formula2>0</formula2>
    </dataValidation>
    <dataValidation sqref="B13" showDropDown="0" showInputMessage="0" showErrorMessage="1" allowBlank="0" type="list">
      <formula1>Assumptions!$A$37:$A$39</formula1>
    </dataValidation>
    <dataValidation sqref="B14" showDropDown="0" showInputMessage="0" showErrorMessage="1" allowBlank="0" type="list">
      <formula1>Assumptions!$A$43:$A$45</formula1>
    </dataValidation>
    <dataValidation sqref="B7" showDropDown="0" showInputMessage="0" showErrorMessage="1" allowBlank="0" error="Pick a mill stock thickness (Assumptions A83:A94)." type="list">
      <formula1>Assumptions!$A$83:$A$94</formula1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7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22" customWidth="1" min="5" max="5"/>
    <col width="14" customWidth="1" min="6" max="6"/>
    <col width="14" customWidth="1" min="7" max="7"/>
    <col width="30" customWidth="1" min="8" max="8"/>
    <col width="12" customWidth="1" min="9" max="9"/>
  </cols>
  <sheetData>
    <row r="1">
      <c r="A1" s="37" t="inlineStr">
        <is>
          <t>Layout</t>
        </is>
      </c>
    </row>
    <row r="2">
      <c r="A2" s="38" t="inlineStr">
        <is>
          <t>Fuse placement, slot pitch, keepout zones and battery fit. Blue on yellow = input. Long side = the side along the fuse row. Short side = the end opposite B+ or the B+ end.</t>
        </is>
      </c>
    </row>
    <row r="4">
      <c r="A4" s="39" t="inlineStr">
        <is>
          <t>LAYOUT INPUTS</t>
        </is>
      </c>
      <c r="B4" s="40" t="n"/>
      <c r="C4" s="40" t="n"/>
      <c r="D4" s="40" t="n"/>
    </row>
    <row r="5">
      <c r="A5" s="43" t="inlineStr">
        <is>
          <t>Walls between fuses</t>
        </is>
      </c>
      <c r="B5" s="44" t="inlineStr">
        <is>
          <t>Yes</t>
        </is>
      </c>
      <c r="C5" s="38" t="inlineStr">
        <is>
          <t>Yes or No. No = sockets may overlap, pitch needs body + creepage</t>
        </is>
      </c>
      <c r="E5" s="43" t="inlineStr">
        <is>
          <t>B+ corner</t>
        </is>
      </c>
      <c r="F5" s="44" t="inlineStr">
        <is>
          <t>Left</t>
        </is>
      </c>
      <c r="G5" s="38" t="inlineStr">
        <is>
          <t>Mirror image only</t>
        </is>
      </c>
    </row>
    <row r="6">
      <c r="A6" s="43" t="inlineStr">
        <is>
          <t>Short-side outputs exit at</t>
        </is>
      </c>
      <c r="B6" s="44" t="inlineStr">
        <is>
          <t>Opposite B+</t>
        </is>
      </c>
      <c r="C6" s="38" t="inlineStr">
        <is>
          <t>Opposite B+ or B+ end</t>
        </is>
      </c>
      <c r="E6" s="43" t="inlineStr">
        <is>
          <t>Short-side bus</t>
        </is>
      </c>
      <c r="F6" s="44" t="inlineStr">
        <is>
          <t>One piece L</t>
        </is>
      </c>
      <c r="G6" s="38" t="inlineStr">
        <is>
          <t>One piece L is costed on its rectangular blank</t>
        </is>
      </c>
    </row>
    <row r="7">
      <c r="A7" s="43" t="inlineStr">
        <is>
          <t>Max block length along the row</t>
        </is>
      </c>
      <c r="B7" s="45" t="n"/>
      <c r="C7" s="38" t="inlineStr">
        <is>
          <t>mm, cover outside. Blank = no limit</t>
        </is>
      </c>
    </row>
    <row r="8">
      <c r="A8" s="43" t="inlineStr">
        <is>
          <t>Max block depth</t>
        </is>
      </c>
      <c r="B8" s="45" t="n"/>
      <c r="C8" s="38" t="inlineStr">
        <is>
          <t>mm, cover outside. Blank = no limit</t>
        </is>
      </c>
    </row>
    <row r="10">
      <c r="A10" s="39" t="inlineStr">
        <is>
          <t>FUSE PLACEMENT AND PITCH</t>
        </is>
      </c>
      <c r="B10" s="40" t="n"/>
      <c r="C10" s="40" t="n"/>
      <c r="D10" s="40" t="n"/>
      <c r="E10" s="40" t="n"/>
      <c r="F10" s="40" t="n"/>
      <c r="G10" s="40" t="n"/>
      <c r="H10" s="40" t="n"/>
      <c r="I10" s="40" t="n"/>
    </row>
    <row r="11">
      <c r="A11" s="41" t="inlineStr">
        <is>
          <t>Fuse type</t>
        </is>
      </c>
      <c r="B11" s="42" t="inlineStr">
        <is>
          <t>Qty</t>
        </is>
      </c>
      <c r="C11" s="42" t="inlineStr">
        <is>
          <t>On short side</t>
        </is>
      </c>
      <c r="D11" s="42" t="inlineStr">
        <is>
          <t>Pitch override (mm)</t>
        </is>
      </c>
      <c r="E11" s="42" t="inlineStr">
        <is>
          <t>Auto pitch (mm)</t>
        </is>
      </c>
      <c r="F11" s="42" t="inlineStr">
        <is>
          <t>Pitch used (mm)</t>
        </is>
      </c>
      <c r="G11" s="42" t="inlineStr">
        <is>
          <t>On long side</t>
        </is>
      </c>
      <c r="H11" s="42" t="inlineStr">
        <is>
          <t>Pitch check</t>
        </is>
      </c>
      <c r="I11" s="42" t="inlineStr">
        <is>
          <t>Short used</t>
        </is>
      </c>
    </row>
    <row r="12">
      <c r="A12" s="43" t="str">
        <f>Estimator!A18</f>
        <v>MEGA (M8)</v>
      </c>
      <c r="B12" s="47">
        <f>Estimator!B18</f>
        <v>2</v>
      </c>
      <c r="C12" s="46" t="n">
        <v>0</v>
      </c>
      <c r="D12" s="45" t="n"/>
      <c r="E12" s="48">
        <f>IF($B$5="Yes",MAX(Estimator!E18,INDEX(Assumptions!$F$31:$F$33,MATCH(Estimator!C18,Assumptions!$A$31:$A$33,0)),Estimator!I18+Estimator!$B$24)+Assumptions!$B$6,MAX(Estimator!E18+Estimator!$B$25,Estimator!I18+Estimator!$B$24))</f>
        <v>29</v>
      </c>
      <c r="F12" s="48">
        <f>IF(D12="",E12,D12)</f>
        <v>29</v>
      </c>
      <c r="G12" s="47">
        <f>B12-I12</f>
        <v>2</v>
      </c>
      <c r="H12" s="43" t="str">
        <f>IF(F12&lt;E12,"Below auto: check socket access and creepage","OK")</f>
        <v>OK</v>
      </c>
      <c r="I12" s="47">
        <f>MIN(B12,C12)</f>
        <v>0</v>
      </c>
    </row>
    <row r="13">
      <c r="A13" s="43" t="str">
        <f>Estimator!A19</f>
        <v>MIDI (M6)</v>
      </c>
      <c r="B13" s="47">
        <f>Estimator!B19</f>
        <v>1</v>
      </c>
      <c r="C13" s="46" t="n">
        <v>0</v>
      </c>
      <c r="D13" s="45" t="n"/>
      <c r="E13" s="48">
        <f>IF($B$5="Yes",MAX(Estimator!E19,INDEX(Assumptions!$F$31:$F$33,MATCH(Estimator!C19,Assumptions!$A$31:$A$33,0)),Estimator!I19+Estimator!$B$24)+Assumptions!$B$6,MAX(Estimator!E19+Estimator!$B$25,Estimator!I19+Estimator!$B$24))</f>
        <v>22</v>
      </c>
      <c r="F13" s="48">
        <f>IF(D13="",E13,D13)</f>
        <v>22</v>
      </c>
      <c r="G13" s="47">
        <f>B13-I13</f>
        <v>1</v>
      </c>
      <c r="H13" s="43" t="str">
        <f>IF(F13&lt;E13,"Below auto: check socket access and creepage","OK")</f>
        <v>OK</v>
      </c>
      <c r="I13" s="47">
        <f>MIN(B13,C13)</f>
        <v>0</v>
      </c>
    </row>
    <row r="14">
      <c r="A14" s="43" t="str">
        <f>Estimator!A20</f>
        <v>MIDI (M5)</v>
      </c>
      <c r="B14" s="47">
        <f>Estimator!B20</f>
        <v>2</v>
      </c>
      <c r="C14" s="46" t="n">
        <v>0</v>
      </c>
      <c r="D14" s="45" t="n"/>
      <c r="E14" s="48">
        <f>IF($B$5="Yes",MAX(Estimator!E20,INDEX(Assumptions!$F$31:$F$33,MATCH(Estimator!C20,Assumptions!$A$31:$A$33,0)),Estimator!I20+Estimator!$B$24)+Assumptions!$B$6,MAX(Estimator!E20+Estimator!$B$25,Estimator!I20+Estimator!$B$24))</f>
        <v>19.5</v>
      </c>
      <c r="F14" s="48">
        <f>IF(D14="",E14,D14)</f>
        <v>19.5</v>
      </c>
      <c r="G14" s="47">
        <f>B14-I14</f>
        <v>2</v>
      </c>
      <c r="H14" s="43" t="str">
        <f>IF(F14&lt;E14,"Below auto: check socket access and creepage","OK")</f>
        <v>OK</v>
      </c>
      <c r="I14" s="47">
        <f>MIN(B14,C14)</f>
        <v>0</v>
      </c>
    </row>
    <row r="15">
      <c r="A15" s="38" t="inlineStr">
        <is>
          <t>Auto pitch with walls = largest of body width, socket clearance and bus edge width + clearance, plus one divider. Without walls = largest of body width + creepage and bus edge width + clearance.</t>
        </is>
      </c>
    </row>
    <row r="17">
      <c r="A17" s="39" t="inlineStr">
        <is>
          <t>KEEPOUT ZONE INPUTS (SEALED BOXES)</t>
        </is>
      </c>
      <c r="B17" s="40" t="n"/>
      <c r="C17" s="40" t="n"/>
      <c r="D17" s="40" t="n"/>
    </row>
    <row r="18">
      <c r="A18" s="41" t="inlineStr"/>
      <c r="B18" s="42" t="inlineStr">
        <is>
          <t>Zone 1</t>
        </is>
      </c>
      <c r="C18" s="42" t="inlineStr">
        <is>
          <t>Zone 2</t>
        </is>
      </c>
      <c r="D18" s="42" t="inlineStr">
        <is>
          <t>Note</t>
        </is>
      </c>
    </row>
    <row r="19">
      <c r="A19" s="43" t="inlineStr">
        <is>
          <t>Name</t>
        </is>
      </c>
      <c r="B19" s="44" t="inlineStr">
        <is>
          <t>Bolted relay</t>
        </is>
      </c>
      <c r="C19" s="44" t="inlineStr">
        <is>
          <t>Spare box</t>
        </is>
      </c>
      <c r="D19" s="38" t="inlineStr">
        <is>
          <t>Label only</t>
        </is>
      </c>
    </row>
    <row r="20">
      <c r="A20" s="43" t="inlineStr">
        <is>
          <t>Include in block</t>
        </is>
      </c>
      <c r="B20" s="44" t="inlineStr">
        <is>
          <t>Yes</t>
        </is>
      </c>
      <c r="C20" s="44" t="inlineStr">
        <is>
          <t>No</t>
        </is>
      </c>
      <c r="D20" s="38" t="inlineStr">
        <is>
          <t>Yes or No</t>
        </is>
      </c>
    </row>
    <row r="21">
      <c r="A21" s="43" t="inlineStr">
        <is>
          <t>Placement</t>
        </is>
      </c>
      <c r="B21" s="44" t="inlineStr">
        <is>
          <t>End of row</t>
        </is>
      </c>
      <c r="C21" s="44" t="inlineStr">
        <is>
          <t>Back side</t>
        </is>
      </c>
      <c r="D21" s="38" t="inlineStr">
        <is>
          <t>End of row, or Back side (behind the bus)</t>
        </is>
      </c>
    </row>
    <row r="22">
      <c r="A22" s="43" t="inlineStr">
        <is>
          <t>Length, front to back</t>
        </is>
      </c>
      <c r="B22" s="45" t="n">
        <v>60</v>
      </c>
      <c r="C22" s="45" t="n">
        <v>40</v>
      </c>
      <c r="D22" s="38" t="inlineStr">
        <is>
          <t>mm</t>
        </is>
      </c>
    </row>
    <row r="23">
      <c r="A23" s="43" t="inlineStr">
        <is>
          <t>Width, along the fuse row</t>
        </is>
      </c>
      <c r="B23" s="45" t="n">
        <v>45</v>
      </c>
      <c r="C23" s="45" t="n">
        <v>30</v>
      </c>
      <c r="D23" s="38" t="inlineStr">
        <is>
          <t>mm</t>
        </is>
      </c>
    </row>
    <row r="24">
      <c r="A24" s="43" t="inlineStr">
        <is>
          <t>Height above the floor</t>
        </is>
      </c>
      <c r="B24" s="45" t="n">
        <v>40</v>
      </c>
      <c r="C24" s="45" t="n">
        <v>25</v>
      </c>
      <c r="D24" s="38" t="inlineStr">
        <is>
          <t>mm. Cover bumps out if taller than the base wall</t>
        </is>
      </c>
    </row>
    <row r="25">
      <c r="A25" s="43" t="inlineStr">
        <is>
          <t>Studs</t>
        </is>
      </c>
      <c r="B25" s="46" t="n">
        <v>2</v>
      </c>
      <c r="C25" s="46" t="n">
        <v>0</v>
      </c>
      <c r="D25" s="38" t="inlineStr">
        <is>
          <t>0, 1 or 2. Use 0 when the zone is laser welded to the bus</t>
        </is>
      </c>
    </row>
    <row r="26">
      <c r="A26" s="43" t="inlineStr">
        <is>
          <t>Stud size</t>
        </is>
      </c>
      <c r="B26" s="44" t="inlineStr">
        <is>
          <t>M6</t>
        </is>
      </c>
      <c r="C26" s="44" t="inlineStr">
        <is>
          <t>M6</t>
        </is>
      </c>
      <c r="D26" s="38" t="inlineStr">
        <is>
          <t>M8, M6 or M5</t>
        </is>
      </c>
    </row>
    <row r="27">
      <c r="A27" s="43" t="inlineStr">
        <is>
          <t>Current from the input bus</t>
        </is>
      </c>
      <c r="B27" s="46" t="n">
        <v>100</v>
      </c>
      <c r="C27" s="46" t="n">
        <v>0</v>
      </c>
      <c r="D27" s="38" t="inlineStr">
        <is>
          <t>A. 0 = no bus connection. Already part of the B+ load, not added to it</t>
        </is>
      </c>
    </row>
    <row r="28">
      <c r="A28" s="43" t="inlineStr">
        <is>
          <t>Branch length override</t>
        </is>
      </c>
      <c r="B28" s="45" t="n"/>
      <c r="C28" s="45" t="n"/>
      <c r="D28" s="38" t="inlineStr">
        <is>
          <t>mm. Blank = auto length below</t>
        </is>
      </c>
    </row>
    <row r="30">
      <c r="A30" s="39" t="inlineStr">
        <is>
          <t>KEEPOUT ZONE CALCULATION</t>
        </is>
      </c>
      <c r="B30" s="40" t="n"/>
      <c r="C30" s="40" t="n"/>
      <c r="D30" s="40" t="n"/>
    </row>
    <row r="31">
      <c r="A31" s="43" t="inlineStr">
        <is>
          <t>Included (1 = yes)</t>
        </is>
      </c>
      <c r="B31" s="47">
        <f>IF(B20="Yes",1,0)</f>
        <v>1</v>
      </c>
      <c r="C31" s="47">
        <f>IF(C20="Yes",1,0)</f>
        <v>0</v>
      </c>
      <c r="D31" s="38" t="inlineStr"/>
    </row>
    <row r="32">
      <c r="A32" s="43" t="inlineStr">
        <is>
          <t>At the end of the row (1 = yes)</t>
        </is>
      </c>
      <c r="B32" s="47">
        <f>B31*IF(B21="End of row",1,0)</f>
        <v>1</v>
      </c>
      <c r="C32" s="47">
        <f>C31*IF(C21="End of row",1,0)</f>
        <v>0</v>
      </c>
      <c r="D32" s="38" t="inlineStr"/>
    </row>
    <row r="33">
      <c r="A33" s="43" t="inlineStr">
        <is>
          <t>On the back side (1 = yes)</t>
        </is>
      </c>
      <c r="B33" s="47">
        <f>B31-B32</f>
        <v>0</v>
      </c>
      <c r="C33" s="47">
        <f>C31-C32</f>
        <v>0</v>
      </c>
      <c r="D33" s="38" t="inlineStr"/>
    </row>
    <row r="34">
      <c r="A34" s="43" t="inlineStr">
        <is>
          <t>Width added to the row</t>
        </is>
      </c>
      <c r="B34" s="48">
        <f>B32*(B23+Assumptions!$B$6)</f>
        <v>47</v>
      </c>
      <c r="C34" s="48">
        <f>C32*(C23+Assumptions!$B$6)</f>
        <v>0</v>
      </c>
      <c r="D34" s="38" t="inlineStr">
        <is>
          <t>mm, zone width plus one divider</t>
        </is>
      </c>
    </row>
    <row r="35">
      <c r="A35" s="43" t="inlineStr">
        <is>
          <t>Width needed on the back side</t>
        </is>
      </c>
      <c r="B35" s="48">
        <f>B33*(B23+Assumptions!$B$6)</f>
        <v>0</v>
      </c>
      <c r="C35" s="48">
        <f>C33*(C23+Assumptions!$B$6)</f>
        <v>0</v>
      </c>
      <c r="D35" s="38" t="inlineStr">
        <is>
          <t>mm</t>
        </is>
      </c>
    </row>
    <row r="36">
      <c r="A36" s="43" t="inlineStr">
        <is>
          <t>Depth added on the back side</t>
        </is>
      </c>
      <c r="B36" s="48">
        <f>B33*(B22+Assumptions!$B$6)</f>
        <v>0</v>
      </c>
      <c r="C36" s="48">
        <f>C33*(C22+Assumptions!$B$6)</f>
        <v>0</v>
      </c>
      <c r="D36" s="38" t="inlineStr">
        <is>
          <t>mm, zone length plus one divider in front of it</t>
        </is>
      </c>
    </row>
    <row r="37">
      <c r="A37" s="43" t="inlineStr">
        <is>
          <t>Base length needed (end of row)</t>
        </is>
      </c>
      <c r="B37" s="48">
        <f>B32*(B22+2*Assumptions!$B$5+IF($B$55=1,$B$62-Assumptions!$B$5,0))</f>
        <v>65</v>
      </c>
      <c r="C37" s="48">
        <f>C32*(C22+2*Assumptions!$B$5+IF($B$55=1,$B$62-Assumptions!$B$5,0))</f>
        <v>0</v>
      </c>
      <c r="D37" s="38" t="inlineStr">
        <is>
          <t>mm. Starts in front of the bus when the bus runs past it to the short side</t>
        </is>
      </c>
    </row>
    <row r="38">
      <c r="A38" s="43" t="inlineStr">
        <is>
          <t>Cover bump-out height</t>
        </is>
      </c>
      <c r="B38" s="48">
        <f>B31*MAX(0,B24+Assumptions!$B$48-Estimator!$B$37)</f>
        <v>25.1</v>
      </c>
      <c r="C38" s="48">
        <f>C31*MAX(0,C24+Assumptions!$B$48-Estimator!$B$37)</f>
        <v>0</v>
      </c>
      <c r="D38" s="38" t="inlineStr">
        <is>
          <t>mm above the base wall</t>
        </is>
      </c>
    </row>
    <row r="39">
      <c r="A39" s="43" t="inlineStr">
        <is>
          <t>Cover bump-out volume</t>
        </is>
      </c>
      <c r="B39" s="47">
        <f>2*(B22+B23)*Assumptions!$B$8*B38</f>
        <v>10542</v>
      </c>
      <c r="C39" s="47">
        <f>2*(C22+C23)*Assumptions!$B$8*C38</f>
        <v>0</v>
      </c>
      <c r="D39" s="38" t="inlineStr">
        <is>
          <t>mm3, side walls of the bump</t>
        </is>
      </c>
    </row>
    <row r="40">
      <c r="A40" s="43" t="inlineStr">
        <is>
          <t>Studs counted</t>
        </is>
      </c>
      <c r="B40" s="47">
        <f>B31*B25</f>
        <v>2</v>
      </c>
      <c r="C40" s="47">
        <f>C31*C25</f>
        <v>0</v>
      </c>
      <c r="D40" s="38" t="inlineStr"/>
    </row>
    <row r="41">
      <c r="A41" s="43" t="inlineStr">
        <is>
          <t>Connected to the bus (1 = yes)</t>
        </is>
      </c>
      <c r="B41" s="47">
        <f>IF(AND(B31=1,B27&gt;0),1,0)</f>
        <v>1</v>
      </c>
      <c r="C41" s="47">
        <f>IF(AND(C31=1,C27&gt;0),1,0)</f>
        <v>0</v>
      </c>
      <c r="D41" s="38" t="inlineStr"/>
    </row>
    <row r="42">
      <c r="A42" s="43" t="inlineStr">
        <is>
          <t>Branch width</t>
        </is>
      </c>
      <c r="B42" s="48">
        <f>B41*MAX(B27/(Assumptions!$B$74*Estimator!$B$7),IF(B40&gt;0,Assumptions!$B$16*INDEX(Assumptions!$B$31:$B$33,MATCH(B26,Assumptions!$A$31:$A$33,0)),0))</f>
        <v>15</v>
      </c>
      <c r="C42" s="48">
        <f>C41*MAX(C27/(Assumptions!$B$74*Estimator!$B$7),IF(C40&gt;0,Assumptions!$B$16*INDEX(Assumptions!$B$31:$B$33,MATCH(C26,Assumptions!$A$31:$A$33,0)),0))</f>
        <v>0</v>
      </c>
      <c r="D42" s="38" t="inlineStr">
        <is>
          <t>mm. Larger of current need and bolt edge distance</t>
        </is>
      </c>
    </row>
    <row r="43">
      <c r="A43" s="43" t="inlineStr">
        <is>
          <t>Auto branch length</t>
        </is>
      </c>
      <c r="B43" s="48">
        <f>B41*IF(B33=1,B22/2+Assumptions!$B$6+Estimator!$B$24,IF($B$55=1,B22/2,$B$56/2-$B$57/2+B34/2))</f>
        <v>27</v>
      </c>
      <c r="C43" s="48">
        <f>C41*IF(C33=1,C22/2+Assumptions!$B$6+Estimator!$B$24,IF($B$55=1,C22/2,$B$56/2-$B$57/2+$B$34+C34/2))</f>
        <v>0</v>
      </c>
      <c r="D43" s="38" t="inlineStr">
        <is>
          <t>mm. Back side: bus to zone centre. End of row: bus end to zone centre</t>
        </is>
      </c>
    </row>
    <row r="44">
      <c r="A44" s="43" t="inlineStr">
        <is>
          <t>Branch length used</t>
        </is>
      </c>
      <c r="B44" s="48">
        <f>B41*IF(B28="",B43,B28)</f>
        <v>27</v>
      </c>
      <c r="C44" s="48">
        <f>C41*IF(C28="",C43,C28)</f>
        <v>0</v>
      </c>
      <c r="D44" s="38" t="inlineStr">
        <is>
          <t>mm</t>
        </is>
      </c>
    </row>
    <row r="45">
      <c r="A45" s="43" t="inlineStr">
        <is>
          <t>Branch copper mass</t>
        </is>
      </c>
      <c r="B45" s="48">
        <f>B44*B42*Estimator!$B$7*Assumptions!$B$13/1000</f>
        <v>7.2576</v>
      </c>
      <c r="C45" s="48">
        <f>C44*C42*Estimator!$B$7*Assumptions!$B$13/1000</f>
        <v>0</v>
      </c>
      <c r="D45" s="38" t="inlineStr">
        <is>
          <t>g, bus thickness</t>
        </is>
      </c>
    </row>
    <row r="46">
      <c r="A46" s="43" t="inlineStr">
        <is>
          <t>Stud bolt and nut hardware</t>
        </is>
      </c>
      <c r="B46" s="49">
        <f>B40*INDEX(Assumptions!$I$31:$I$33,MATCH(B26,Assumptions!$A$31:$A$33,0))</f>
        <v>0.36</v>
      </c>
      <c r="C46" s="49">
        <f>C40*INDEX(Assumptions!$I$31:$I$33,MATCH(C26,Assumptions!$A$31:$A$33,0))</f>
        <v>0</v>
      </c>
      <c r="D46" s="38" t="inlineStr">
        <is>
          <t>$</t>
        </is>
      </c>
    </row>
    <row r="47">
      <c r="A47" s="43" t="inlineStr">
        <is>
          <t>Stud boss size units</t>
        </is>
      </c>
      <c r="B47" s="50">
        <f>B40*INDEX(Assumptions!$J$31:$J$33,MATCH(B26,Assumptions!$A$31:$A$33,0))</f>
        <v>1.5</v>
      </c>
      <c r="C47" s="50">
        <f>C40*INDEX(Assumptions!$J$31:$J$33,MATCH(C26,Assumptions!$A$31:$A$33,0))</f>
        <v>0</v>
      </c>
      <c r="D47" s="38" t="inlineStr"/>
    </row>
    <row r="48">
      <c r="A48" s="43" t="inlineStr">
        <is>
          <t>Laser weld joints (0 studs, bus connected)</t>
        </is>
      </c>
      <c r="B48" s="47">
        <f>IF(AND(B41=1,B25=0),1,0)</f>
        <v>0</v>
      </c>
      <c r="C48" s="47">
        <f>IF(AND(C41=1,C25=0),1,0)</f>
        <v>0</v>
      </c>
      <c r="D48" s="38" t="inlineStr"/>
    </row>
    <row r="50">
      <c r="A50" s="39" t="inlineStr">
        <is>
          <t>SHORT SIDE AND BUS</t>
        </is>
      </c>
      <c r="B50" s="40" t="n"/>
      <c r="C50" s="40" t="n"/>
      <c r="D50" s="40" t="n"/>
    </row>
    <row r="51">
      <c r="A51" s="43" t="inlineStr">
        <is>
          <t>Fuses on the short side</t>
        </is>
      </c>
      <c r="B51" s="47">
        <f>SUM(I12:I14)</f>
        <v>0</v>
      </c>
      <c r="C51" s="38" t="inlineStr"/>
    </row>
    <row r="52">
      <c r="A52" s="43" t="inlineStr">
        <is>
          <t>Fuses on the long side</t>
        </is>
      </c>
      <c r="B52" s="47">
        <f>SUM(G12:G14)</f>
        <v>5</v>
      </c>
      <c r="C52" s="38" t="inlineStr"/>
    </row>
    <row r="53">
      <c r="A53" s="43" t="inlineStr">
        <is>
          <t>Short-side slots length</t>
        </is>
      </c>
      <c r="B53" s="48">
        <f>SUMPRODUCT(I12:I14,F12:F14)</f>
        <v>0</v>
      </c>
      <c r="C53" s="38" t="inlineStr">
        <is>
          <t>mm</t>
        </is>
      </c>
    </row>
    <row r="54">
      <c r="A54" s="43" t="inlineStr">
        <is>
          <t>Long-side slots width</t>
        </is>
      </c>
      <c r="B54" s="48">
        <f>SUMPRODUCT(G12:G14,F12:F14)</f>
        <v>119</v>
      </c>
      <c r="C54" s="38" t="inlineStr">
        <is>
          <t>mm</t>
        </is>
      </c>
    </row>
    <row r="55">
      <c r="A55" s="43" t="inlineStr">
        <is>
          <t>Bus runs past the end zones to the short side (1 = yes)</t>
        </is>
      </c>
      <c r="B55" s="47">
        <f>IF(AND(B51&gt;0,B6="Opposite B+"),1,0)</f>
        <v>0</v>
      </c>
      <c r="C55" s="38" t="inlineStr"/>
    </row>
    <row r="56">
      <c r="A56" s="43" t="inlineStr">
        <is>
          <t>Last long-side fuse pitch</t>
        </is>
      </c>
      <c r="B56" s="48">
        <f>IF(G14&gt;0,F14,IF(G13&gt;0,F13,F12))</f>
        <v>19.5</v>
      </c>
      <c r="C56" s="38" t="inlineStr">
        <is>
          <t>mm</t>
        </is>
      </c>
    </row>
    <row r="57">
      <c r="A57" s="43" t="inlineStr">
        <is>
          <t>Last long-side fuse min bus width</t>
        </is>
      </c>
      <c r="B57" s="48">
        <f>IF(G14&gt;0,Estimator!I20,IF(G13&gt;0,Estimator!I19,Estimator!I18))</f>
        <v>12.5</v>
      </c>
      <c r="C57" s="38" t="inlineStr">
        <is>
          <t>mm</t>
        </is>
      </c>
    </row>
    <row r="58">
      <c r="A58" s="43" t="inlineStr">
        <is>
          <t>Last short-side fuse pitch</t>
        </is>
      </c>
      <c r="B58" s="48">
        <f>IF(I14&gt;0,F14,IF(I13&gt;0,F13,F12))</f>
        <v>29</v>
      </c>
      <c r="C58" s="38" t="inlineStr">
        <is>
          <t>mm</t>
        </is>
      </c>
    </row>
    <row r="59">
      <c r="A59" s="43" t="inlineStr">
        <is>
          <t>Last short-side fuse min bus width</t>
        </is>
      </c>
      <c r="B59" s="48">
        <f>IF(I14&gt;0,Estimator!I20,IF(I13&gt;0,Estimator!I19,Estimator!I18))</f>
        <v>20</v>
      </c>
      <c r="C59" s="38" t="inlineStr">
        <is>
          <t>mm</t>
        </is>
      </c>
    </row>
    <row r="60">
      <c r="A60" s="43" t="inlineStr">
        <is>
          <t>Back-side zone depth</t>
        </is>
      </c>
      <c r="B60" s="48">
        <f>MAX(B36,C36)</f>
        <v>0</v>
      </c>
      <c r="C60" s="38" t="inlineStr">
        <is>
          <t>mm</t>
        </is>
      </c>
    </row>
    <row r="61">
      <c r="A61" s="43" t="inlineStr">
        <is>
          <t>Input stud row from the back edge</t>
        </is>
      </c>
      <c r="B61" s="48">
        <f>B60+MAX(SUMPRODUCT(MAX((G12:G14&gt;0)*Estimator!P18:P20)),(Estimator!B28-Estimator!B27/2)+Estimator!B24+Assumptions!$B$5)</f>
        <v>28.8054381512051</v>
      </c>
      <c r="C61" s="38" t="inlineStr">
        <is>
          <t>mm</t>
        </is>
      </c>
    </row>
    <row r="62">
      <c r="A62" s="43" t="inlineStr">
        <is>
          <t>Bus front edge from the back edge</t>
        </is>
      </c>
      <c r="B62" s="48">
        <f>B61+Estimator!B27/2</f>
        <v>38.8054381512051</v>
      </c>
      <c r="C62" s="38" t="inlineStr">
        <is>
          <t>mm</t>
        </is>
      </c>
    </row>
    <row r="63">
      <c r="A63" s="43" t="inlineStr">
        <is>
          <t>Short-side input stud offset</t>
        </is>
      </c>
      <c r="B63" s="48">
        <f>IF(B51&gt;0,MAX(SUMPRODUCT(MAX((I12:I14&gt;0)*(Estimator!P18:P20-Assumptions!$B$5))),Estimator!B28-Estimator!B27/2+Estimator!B24),0)</f>
        <v>0</v>
      </c>
      <c r="C63" s="38" t="inlineStr">
        <is>
          <t>mm, from the inner edge of the short-side column</t>
        </is>
      </c>
    </row>
    <row r="64">
      <c r="A64" s="43" t="inlineStr">
        <is>
          <t>Short-side column width</t>
        </is>
      </c>
      <c r="B64" s="48">
        <f>IF(B51&gt;0,B63+SUMPRODUCT(MAX((I12:I14&gt;0)*(Estimator!M18:M20-Assumptions!$B$5))),0)</f>
        <v>0</v>
      </c>
      <c r="C64" s="38" t="inlineStr">
        <is>
          <t>mm, outer wall not included</t>
        </is>
      </c>
    </row>
    <row r="65">
      <c r="A65" s="43" t="inlineStr">
        <is>
          <t>Long-row bus end (from the B+ end inner wall)</t>
        </is>
      </c>
      <c r="B65" s="48">
        <f>IF(B52&gt;0,B90+B54-B56/2+B57/2,IF(AND(B51&gt;0,B6="B+ end"),MAX(Estimator!B35,B64-B63-Estimator!B27/2+Estimator!B28),Estimator!B35))</f>
        <v>140.5</v>
      </c>
      <c r="C65" s="38" t="inlineStr">
        <is>
          <t>mm</t>
        </is>
      </c>
    </row>
    <row r="66">
      <c r="A66" s="43" t="inlineStr">
        <is>
          <t>Bus length along the row</t>
        </is>
      </c>
      <c r="B66" s="48">
        <f>IF(B51=0,B65,IF(B6="Opposite B+",Estimator!B35+B54+B34+C34+B63+Estimator!B27/2,B65))</f>
        <v>140.5</v>
      </c>
      <c r="C66" s="38" t="inlineStr">
        <is>
          <t>mm</t>
        </is>
      </c>
    </row>
    <row r="67">
      <c r="A67" s="43" t="inlineStr">
        <is>
          <t>Bus length down the short side</t>
        </is>
      </c>
      <c r="B67" s="48">
        <f>IF(B51&gt;0,B53-B58/2+B59/2,0)</f>
        <v>0</v>
      </c>
      <c r="C67" s="38" t="inlineStr">
        <is>
          <t>mm, past the bus front edge</t>
        </is>
      </c>
    </row>
    <row r="68">
      <c r="A68" s="43" t="inlineStr">
        <is>
          <t>Base length needed for the short side</t>
        </is>
      </c>
      <c r="B68" s="48">
        <f>IF(B51&gt;0,B62+B53+Assumptions!$B$5,0)</f>
        <v>0</v>
      </c>
      <c r="C68" s="38" t="inlineStr">
        <is>
          <t>mm</t>
        </is>
      </c>
    </row>
    <row r="69">
      <c r="A69" s="43" t="inlineStr">
        <is>
          <t>Short-side divider count</t>
        </is>
      </c>
      <c r="B69" s="47">
        <f>IF(B51&gt;0,IF(B5="Yes",B51,1),0)</f>
        <v>0</v>
      </c>
      <c r="C69" s="38" t="inlineStr"/>
    </row>
    <row r="70">
      <c r="A70" s="43" t="inlineStr">
        <is>
          <t>Long-side divider count</t>
        </is>
      </c>
      <c r="B70" s="47">
        <f>IF(B5="Yes",MAX(0,B52+Estimator!B11-1),Estimator!B11)</f>
        <v>5</v>
      </c>
      <c r="C70" s="38" t="inlineStr"/>
    </row>
    <row r="71">
      <c r="A71" s="43" t="inlineStr">
        <is>
          <t>Divider length, total</t>
        </is>
      </c>
      <c r="B71" s="48">
        <f>(B70+B32+C32)*(Estimator!B38-2*Assumptions!$B$5)+B69*B64+B23*B33+C23*C33</f>
        <v>418.83262890723</v>
      </c>
      <c r="C71" s="38" t="inlineStr">
        <is>
          <t>mm</t>
        </is>
      </c>
    </row>
    <row r="72">
      <c r="A72" s="43" t="inlineStr">
        <is>
          <t>Divider count, total</t>
        </is>
      </c>
      <c r="B72" s="47">
        <f>B70+B69+B31+C31</f>
        <v>6</v>
      </c>
      <c r="C72" s="38" t="inlineStr"/>
    </row>
    <row r="74">
      <c r="A74" s="39" t="inlineStr">
        <is>
          <t>TOTALS USED BY THE ESTIMATOR</t>
        </is>
      </c>
      <c r="B74" s="40" t="n"/>
      <c r="C74" s="40" t="n"/>
      <c r="D74" s="40" t="n"/>
    </row>
    <row r="75">
      <c r="A75" s="43" t="inlineStr">
        <is>
          <t>Zones included</t>
        </is>
      </c>
      <c r="B75" s="51">
        <f>B31+C31</f>
        <v>1</v>
      </c>
      <c r="C75" s="38" t="inlineStr"/>
    </row>
    <row r="76">
      <c r="A76" s="43" t="inlineStr">
        <is>
          <t>Width added to the row by end zones</t>
        </is>
      </c>
      <c r="B76" s="52">
        <f>B34+C34</f>
        <v>47</v>
      </c>
      <c r="C76" s="38" t="inlineStr">
        <is>
          <t>mm</t>
        </is>
      </c>
    </row>
    <row r="77">
      <c r="A77" s="43" t="inlineStr">
        <is>
          <t>Width needed by back-side zones</t>
        </is>
      </c>
      <c r="B77" s="52">
        <f>B35+C35</f>
        <v>0</v>
      </c>
      <c r="C77" s="38" t="inlineStr">
        <is>
          <t>mm, includes one divider per zone</t>
        </is>
      </c>
    </row>
    <row r="78">
      <c r="A78" s="43" t="inlineStr">
        <is>
          <t>Base length needed by end zones</t>
        </is>
      </c>
      <c r="B78" s="52">
        <f>MAX(B37,C37)</f>
        <v>65</v>
      </c>
      <c r="C78" s="38" t="inlineStr">
        <is>
          <t>mm</t>
        </is>
      </c>
    </row>
    <row r="79">
      <c r="A79" s="43" t="inlineStr">
        <is>
          <t>Inside height needed by zones</t>
        </is>
      </c>
      <c r="B79" s="52">
        <f>MAX(B31*(B24+Assumptions!$B$48),C31*(C24+Assumptions!$B$48))</f>
        <v>40.5</v>
      </c>
      <c r="C79" s="38" t="inlineStr">
        <is>
          <t>mm</t>
        </is>
      </c>
    </row>
    <row r="80">
      <c r="A80" s="43" t="inlineStr">
        <is>
          <t>Cover bump-out volume</t>
        </is>
      </c>
      <c r="B80" s="51">
        <f>B39+C39</f>
        <v>10542</v>
      </c>
      <c r="C80" s="38" t="inlineStr">
        <is>
          <t>mm3</t>
        </is>
      </c>
    </row>
    <row r="81">
      <c r="A81" s="43" t="inlineStr">
        <is>
          <t>Zone studs retained in the base</t>
        </is>
      </c>
      <c r="B81" s="51">
        <f>B40+C40</f>
        <v>2</v>
      </c>
      <c r="C81" s="38" t="inlineStr"/>
    </row>
    <row r="82">
      <c r="A82" s="43" t="inlineStr">
        <is>
          <t>Zone branch copper</t>
        </is>
      </c>
      <c r="B82" s="52">
        <f>B45+C45</f>
        <v>7.2576</v>
      </c>
      <c r="C82" s="38" t="inlineStr">
        <is>
          <t>g</t>
        </is>
      </c>
    </row>
    <row r="83">
      <c r="A83" s="43" t="inlineStr">
        <is>
          <t>Zone stud bolt and nut hardware</t>
        </is>
      </c>
      <c r="B83" s="53">
        <f>B46+C46</f>
        <v>0.36</v>
      </c>
      <c r="C83" s="38" t="inlineStr">
        <is>
          <t>$</t>
        </is>
      </c>
    </row>
    <row r="84">
      <c r="A84" s="43" t="inlineStr">
        <is>
          <t>Zone stud boss size units</t>
        </is>
      </c>
      <c r="B84" s="54">
        <f>B47+C47</f>
        <v>1.5</v>
      </c>
      <c r="C84" s="38" t="inlineStr"/>
    </row>
    <row r="85">
      <c r="A85" s="43" t="inlineStr">
        <is>
          <t>Laser weld joint cost</t>
        </is>
      </c>
      <c r="B85" s="53">
        <f>(B48+C48)*Assumptions!$B$45</f>
        <v>0</v>
      </c>
      <c r="C85" s="38" t="inlineStr">
        <is>
          <t>$</t>
        </is>
      </c>
    </row>
    <row r="86">
      <c r="A86" s="43" t="inlineStr">
        <is>
          <t>Battery length check</t>
        </is>
      </c>
      <c r="B86" s="61" t="str">
        <f>IF(B7="","No limit",IF(Estimator!E66&lt;=B7,"Fits","Too long by "&amp;TEXT(Estimator!E66-B7,"0.0")&amp;" mm"))</f>
        <v>No limit</v>
      </c>
      <c r="C86" s="38" t="inlineStr">
        <is>
          <t>cover outside</t>
        </is>
      </c>
    </row>
    <row r="87">
      <c r="A87" s="43" t="inlineStr">
        <is>
          <t>Battery depth check</t>
        </is>
      </c>
      <c r="B87" s="61" t="str">
        <f>IF(B8="","No limit",IF(Estimator!E65&lt;=B8,"Fits","Too deep by "&amp;TEXT(Estimator!E65-B8,"0.0")&amp;" mm"))</f>
        <v>No limit</v>
      </c>
      <c r="C87" s="38" t="inlineStr">
        <is>
          <t>cover outside</t>
        </is>
      </c>
    </row>
    <row r="89">
      <c r="A89" s="39" t="inlineStr">
        <is>
          <t>B+ CORNER, SHORT-SIDE BAR AND COPPER BLANK</t>
        </is>
      </c>
      <c r="B89" s="40" t="n"/>
      <c r="C89" s="40" t="n"/>
      <c r="D89" s="40" t="n"/>
    </row>
    <row r="90">
      <c r="A90" s="43" t="inlineStr">
        <is>
          <t>Long row start (from the B+ end inner wall)</t>
        </is>
      </c>
      <c r="B90" s="48">
        <f>IF(AND(B51&gt;0,B6="B+ end"),MAX(Estimator!B35,B64),Estimator!B35)</f>
        <v>25</v>
      </c>
      <c r="C90" s="38" t="inlineStr">
        <is>
          <t>mm. The short-side column tucks under the B+ corner when it exits at the B+ end</t>
        </is>
      </c>
    </row>
    <row r="91">
      <c r="A91" s="43" t="inlineStr">
        <is>
          <t>Bus along the row, net mass</t>
        </is>
      </c>
      <c r="B91" s="48">
        <f>B66*Estimator!B28*Estimator!$B$7*Assumptions!$B$13/1000</f>
        <v>87.6317399595781</v>
      </c>
      <c r="C91" s="38" t="inlineStr">
        <is>
          <t>g</t>
        </is>
      </c>
    </row>
    <row r="92">
      <c r="A92" s="43" t="inlineStr">
        <is>
          <t>Short-side bar length incl. lap</t>
        </is>
      </c>
      <c r="B92" s="48">
        <f>IF(B51&gt;0,B67+IF(F6="One piece L",0,Estimator!B28),0)</f>
        <v>0</v>
      </c>
      <c r="C92" s="38" t="inlineStr">
        <is>
          <t>mm. A second bar laps the main bus by one bus width</t>
        </is>
      </c>
    </row>
    <row r="93">
      <c r="A93" s="43" t="inlineStr">
        <is>
          <t>Short-side bar net mass</t>
        </is>
      </c>
      <c r="B93" s="48">
        <f>B92*Estimator!B28*Estimator!$B$7*Assumptions!$B$13/1000</f>
        <v>0</v>
      </c>
      <c r="C93" s="38" t="inlineStr">
        <is>
          <t>g</t>
        </is>
      </c>
    </row>
    <row r="94">
      <c r="A94" s="43" t="inlineStr">
        <is>
          <t>Bus net mass</t>
        </is>
      </c>
      <c r="B94" s="48">
        <f>B91+B93</f>
        <v>87.6317399595781</v>
      </c>
      <c r="C94" s="38" t="inlineStr">
        <is>
          <t>g, the part weight</t>
        </is>
      </c>
    </row>
    <row r="95">
      <c r="A95" s="43" t="inlineStr">
        <is>
          <t>Bus blank mass</t>
        </is>
      </c>
      <c r="B95" s="48">
        <f>IF(AND(B51&gt;0,F6="One piece L"),B66*(Estimator!B28+B67)*Estimator!$B$7*Assumptions!$B$13/1000,B94)</f>
        <v>87.6317399595781</v>
      </c>
      <c r="C95" s="38" t="inlineStr">
        <is>
          <t>g. One piece L = rectangle around the L</t>
        </is>
      </c>
    </row>
    <row r="96">
      <c r="A96" s="43" t="inlineStr">
        <is>
          <t>Bus blank scrap</t>
        </is>
      </c>
      <c r="B96" s="48">
        <f>B95-B94</f>
        <v>0</v>
      </c>
      <c r="C96" s="38" t="inlineStr">
        <is>
          <t>g</t>
        </is>
      </c>
    </row>
    <row r="97">
      <c r="A97" s="43" t="inlineStr">
        <is>
          <t>Short-side bus joint cost</t>
        </is>
      </c>
      <c r="B97" s="49">
        <f>IF(B51&gt;0,IF(F6="Second bar laser welded",Assumptions!$B$45,IF(F6="Second bar bolted",INDEX(Assumptions!$I$31:$I$33,MATCH(Estimator!$B$10,Assumptions!$A$31:$A$33,0))+Assumptions!$B$43,0)),0)</f>
        <v>0</v>
      </c>
      <c r="C97" s="38" t="inlineStr">
        <is>
          <t>$. Bolted = one bolt of the B+ stud size plus a bolted joint</t>
        </is>
      </c>
    </row>
    <row r="99">
      <c r="A99" s="39" t="inlineStr">
        <is>
          <t>BUS WIDTH AT THE TEMPERATURE LIMIT (NEWTON SOLVE)</t>
        </is>
      </c>
      <c r="B99" s="40" t="n"/>
      <c r="C99" s="40" t="n"/>
      <c r="D99" s="40" t="n"/>
    </row>
    <row r="100">
      <c r="A100" s="43" t="inlineStr">
        <is>
          <t>Load over k at the allowed rise</t>
        </is>
      </c>
      <c r="B100" s="66">
        <f>Estimator!$B$6/(Assumptions!$B$58*Assumptions!$B$63*Assumptions!$B$73*(MAX(1,Assumptions!$B$69-Estimator!$B$15)/Assumptions!$B$62)^Assumptions!$B$61)</f>
        <v>44.6114075186232</v>
      </c>
      <c r="C100" s="38" t="inlineStr">
        <is>
          <t>Allowed rise = max bus temp - ambient (at least 1 C)</t>
        </is>
      </c>
    </row>
    <row r="101">
      <c r="A101" s="43" t="inlineStr">
        <is>
          <t>Start: width by current density</t>
        </is>
      </c>
      <c r="B101" s="48">
        <f>Estimator!$B$6/(Assumptions!$B$74*Estimator!$B$7)</f>
        <v>37.5</v>
      </c>
      <c r="C101" s="38" t="inlineStr">
        <is>
          <t>mm</t>
        </is>
      </c>
    </row>
    <row r="102">
      <c r="A102" s="43" t="inlineStr">
        <is>
          <t>Newton step 1</t>
        </is>
      </c>
      <c r="B102" s="48">
        <f>IF(Estimator!$B$6&lt;=0,0,B101*EXP(-(Assumptions!$B$59*LN(B101*Estimator!$B$7)+Assumptions!$B$60*LN(2*(B101+Estimator!$B$7))-LN($B$100))/(Assumptions!$B$59+Assumptions!$B$60*B101/(B101+Estimator!$B$7))))</f>
        <v>34.8075699644559</v>
      </c>
      <c r="C102" s="38" t="inlineStr">
        <is>
          <t>mm</t>
        </is>
      </c>
    </row>
    <row r="103">
      <c r="A103" s="43" t="inlineStr">
        <is>
          <t>Newton step 2</t>
        </is>
      </c>
      <c r="B103" s="48">
        <f>IF(Estimator!$B$6&lt;=0,0,B102*EXP(-(Assumptions!$B$59*LN(B102*Estimator!$B$7)+Assumptions!$B$60*LN(2*(B102+Estimator!$B$7))-LN($B$100))/(Assumptions!$B$59+Assumptions!$B$60*B102/(B102+Estimator!$B$7))))</f>
        <v>34.8054381527109</v>
      </c>
      <c r="C103" s="38" t="inlineStr">
        <is>
          <t>mm</t>
        </is>
      </c>
    </row>
    <row r="104">
      <c r="A104" s="43" t="inlineStr">
        <is>
          <t>Newton step 3</t>
        </is>
      </c>
      <c r="B104" s="48">
        <f>IF(Estimator!$B$6&lt;=0,0,B103*EXP(-(Assumptions!$B$59*LN(B103*Estimator!$B$7)+Assumptions!$B$60*LN(2*(B103+Estimator!$B$7))-LN($B$100))/(Assumptions!$B$59+Assumptions!$B$60*B103/(B103+Estimator!$B$7))))</f>
        <v>34.8054381512051</v>
      </c>
      <c r="C104" s="38" t="inlineStr">
        <is>
          <t>mm</t>
        </is>
      </c>
    </row>
    <row r="105">
      <c r="A105" s="43" t="inlineStr">
        <is>
          <t>Newton step 4</t>
        </is>
      </c>
      <c r="B105" s="48">
        <f>IF(Estimator!$B$6&lt;=0,0,B104*EXP(-(Assumptions!$B$59*LN(B104*Estimator!$B$7)+Assumptions!$B$60*LN(2*(B104+Estimator!$B$7))-LN($B$100))/(Assumptions!$B$59+Assumptions!$B$60*B104/(B104+Estimator!$B$7))))</f>
        <v>34.8054381512051</v>
      </c>
      <c r="C105" s="38" t="inlineStr">
        <is>
          <t>mm</t>
        </is>
      </c>
    </row>
    <row r="106">
      <c r="A106" s="43" t="inlineStr">
        <is>
          <t>Newton step 5</t>
        </is>
      </c>
      <c r="B106" s="48">
        <f>IF(Estimator!$B$6&lt;=0,0,B105*EXP(-(Assumptions!$B$59*LN(B105*Estimator!$B$7)+Assumptions!$B$60*LN(2*(B105+Estimator!$B$7))-LN($B$100))/(Assumptions!$B$59+Assumptions!$B$60*B105/(B105+Estimator!$B$7))))</f>
        <v>34.8054381512051</v>
      </c>
      <c r="C106" s="38" t="inlineStr">
        <is>
          <t>mm</t>
        </is>
      </c>
    </row>
    <row r="107">
      <c r="A107" s="43" t="inlineStr">
        <is>
          <t>Newton step 6</t>
        </is>
      </c>
      <c r="B107" s="48">
        <f>IF(Estimator!$B$6&lt;=0,0,B106*EXP(-(Assumptions!$B$59*LN(B106*Estimator!$B$7)+Assumptions!$B$60*LN(2*(B106+Estimator!$B$7))-LN($B$100))/(Assumptions!$B$59+Assumptions!$B$60*B106/(B106+Estimator!$B$7))))</f>
        <v>34.8054381512051</v>
      </c>
      <c r="C107" s="38" t="inlineStr">
        <is>
          <t>mm</t>
        </is>
      </c>
    </row>
  </sheetData>
  <dataValidations count="10">
    <dataValidation sqref="B5" showDropDown="0" showInputMessage="0" showErrorMessage="1" allowBlank="0" type="list">
      <formula1>"Yes,No"</formula1>
    </dataValidation>
    <dataValidation sqref="B6" showDropDown="0" showInputMessage="0" showErrorMessage="1" allowBlank="0" type="list">
      <formula1>"Opposite B+,B+ end"</formula1>
    </dataValidation>
    <dataValidation sqref="C12:C14" showDropDown="0" showInputMessage="0" showErrorMessage="1" allowBlank="0" type="whole" operator="greaterThanOrEqual">
      <formula1>0</formula1>
    </dataValidation>
    <dataValidation sqref="D12:D14" showDropDown="0" showInputMessage="0" showErrorMessage="1" allowBlank="0" type="decimal" operator="greaterThan">
      <formula1>0</formula1>
    </dataValidation>
    <dataValidation sqref="B20:C20" showDropDown="0" showInputMessage="0" showErrorMessage="1" allowBlank="0" type="list">
      <formula1>"Yes,No"</formula1>
    </dataValidation>
    <dataValidation sqref="B21:C21" showDropDown="0" showInputMessage="0" showErrorMessage="1" allowBlank="0" type="list">
      <formula1>"End of row,Back side"</formula1>
    </dataValidation>
    <dataValidation sqref="B25:C25" showDropDown="0" showInputMessage="0" showErrorMessage="1" allowBlank="0" type="list">
      <formula1>"0,1,2"</formula1>
    </dataValidation>
    <dataValidation sqref="B26:C26" showDropDown="0" showInputMessage="0" showErrorMessage="1" allowBlank="0" type="list">
      <formula1>"M8,M6,M5"</formula1>
    </dataValidation>
    <dataValidation sqref="F5" showDropDown="0" showInputMessage="0" showErrorMessage="1" allowBlank="0" type="list">
      <formula1>"Left,Right"</formula1>
    </dataValidation>
    <dataValidation sqref="F6" showDropDown="0" showInputMessage="0" showErrorMessage="1" allowBlank="0" type="list">
      <formula1>"One piece L,Second bar laser welded,Second bar bolted"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2" customWidth="1" min="9" max="9"/>
  </cols>
  <sheetData>
    <row r="1">
      <c r="A1" s="37" t="inlineStr">
        <is>
          <t>Busbar Sizer</t>
        </is>
      </c>
    </row>
    <row r="2">
      <c r="A2" s="38" t="inlineStr">
        <is>
          <t>Quick copper cost for a known bar, and the cheapest mill stock thickness at a fixed current. Ampacity model: Assumptions rows 57 to 63 and 69 to 73.</t>
        </is>
      </c>
    </row>
    <row r="4">
      <c r="A4" s="39" t="inlineStr">
        <is>
          <t>INPUTS</t>
        </is>
      </c>
      <c r="B4" s="40" t="n"/>
      <c r="C4" s="40" t="n"/>
    </row>
    <row r="5">
      <c r="A5" s="43" t="inlineStr">
        <is>
          <t>Current</t>
        </is>
      </c>
      <c r="B5" s="46" t="n">
        <v>300</v>
      </c>
      <c r="C5" s="38" t="inlineStr">
        <is>
          <t>A</t>
        </is>
      </c>
    </row>
    <row r="6">
      <c r="A6" s="43" t="inlineStr">
        <is>
          <t>Allowed temperature rise (max bus temp - ambient)</t>
        </is>
      </c>
      <c r="B6" s="64">
        <f>Assumptions!$B$69-Estimator!$B$15</f>
        <v>45</v>
      </c>
      <c r="C6" s="38" t="inlineStr">
        <is>
          <t>C. Ambient is Estimator B15, max temp is Assumptions B69</t>
        </is>
      </c>
    </row>
    <row r="7">
      <c r="A7" s="43" t="inlineStr">
        <is>
          <t>Bar length</t>
        </is>
      </c>
      <c r="B7" s="45" t="n">
        <v>150</v>
      </c>
      <c r="C7" s="38" t="inlineStr">
        <is>
          <t>mm</t>
        </is>
      </c>
    </row>
    <row r="8">
      <c r="A8" s="43" t="inlineStr">
        <is>
          <t>Known bar width</t>
        </is>
      </c>
      <c r="B8" s="45" t="n">
        <v>40</v>
      </c>
      <c r="C8" s="38" t="inlineStr">
        <is>
          <t>mm</t>
        </is>
      </c>
    </row>
    <row r="9">
      <c r="A9" s="43" t="inlineStr">
        <is>
          <t>Known bar thickness</t>
        </is>
      </c>
      <c r="B9" s="55" t="n">
        <v>2</v>
      </c>
      <c r="C9" s="38" t="inlineStr">
        <is>
          <t>mm, mill stock (Assumptions A83:A94)</t>
        </is>
      </c>
    </row>
    <row r="10">
      <c r="A10" s="43" t="inlineStr">
        <is>
          <t>Copper price</t>
        </is>
      </c>
      <c r="B10" s="56">
        <f>Estimator!B9</f>
        <v>11</v>
      </c>
      <c r="C10" s="38" t="inlineStr">
        <is>
          <t>$/kg, linked to the Estimator</t>
        </is>
      </c>
    </row>
    <row r="11">
      <c r="A11" s="43" t="inlineStr">
        <is>
          <t>Max width that fits the package</t>
        </is>
      </c>
      <c r="B11" s="45" t="n">
        <v>30</v>
      </c>
      <c r="C11" s="38" t="inlineStr">
        <is>
          <t>mm</t>
        </is>
      </c>
    </row>
    <row r="12">
      <c r="A12" s="39" t="inlineStr">
        <is>
          <t>KNOWN BAR</t>
        </is>
      </c>
      <c r="B12" s="40" t="n"/>
      <c r="C12" s="40" t="n"/>
    </row>
    <row r="13">
      <c r="A13" s="43" t="inlineStr">
        <is>
          <t>Width to thickness ratio</t>
        </is>
      </c>
      <c r="B13" s="48">
        <f>B8/B9</f>
        <v>20</v>
      </c>
      <c r="C13" s="38" t="inlineStr">
        <is>
          <t>: 1</t>
        </is>
      </c>
    </row>
    <row r="14">
      <c r="A14" s="43" t="inlineStr">
        <is>
          <t>Cross-section area</t>
        </is>
      </c>
      <c r="B14" s="48">
        <f>B8*B9</f>
        <v>80</v>
      </c>
      <c r="C14" s="38" t="inlineStr">
        <is>
          <t>mm2</t>
        </is>
      </c>
    </row>
    <row r="15">
      <c r="A15" s="43" t="inlineStr">
        <is>
          <t>Perimeter</t>
        </is>
      </c>
      <c r="B15" s="48">
        <f>2*(B8+B9)</f>
        <v>84</v>
      </c>
      <c r="C15" s="38" t="inlineStr">
        <is>
          <t>mm</t>
        </is>
      </c>
    </row>
    <row r="16">
      <c r="A16" s="43" t="inlineStr">
        <is>
          <t>Current density</t>
        </is>
      </c>
      <c r="B16" s="50">
        <f>B5/B14</f>
        <v>3.75</v>
      </c>
      <c r="C16" s="38" t="inlineStr">
        <is>
          <t>A/mm2</t>
        </is>
      </c>
    </row>
    <row r="17">
      <c r="A17" s="43" t="inlineStr">
        <is>
          <t>Rated current at the allowed rise</t>
        </is>
      </c>
      <c r="B17" s="48">
        <f>Assumptions!$B$58*Assumptions!$B$63*Assumptions!$B$73*B14^Assumptions!$B$59*B15^Assumptions!$B$60*(B6/Assumptions!$B$62)^Assumptions!$B$61</f>
        <v>338.601785632599</v>
      </c>
      <c r="C17" s="38" t="inlineStr">
        <is>
          <t>A</t>
        </is>
      </c>
    </row>
    <row r="18">
      <c r="A18" s="43" t="inlineStr">
        <is>
          <t>Estimated temperature rise at the current</t>
        </is>
      </c>
      <c r="B18" s="48">
        <f>Assumptions!$B$62*(B5/(Assumptions!$B$58*Assumptions!$B$63*Assumptions!$B$73*B14^Assumptions!$B$59*B15^Assumptions!$B$60))^(1/Assumptions!$B$61)</f>
        <v>36.9007745462249</v>
      </c>
      <c r="C18" s="38" t="inlineStr">
        <is>
          <t>C</t>
        </is>
      </c>
    </row>
    <row r="19">
      <c r="A19" s="43" t="inlineStr">
        <is>
          <t>Carries the current?</t>
        </is>
      </c>
      <c r="B19" s="43" t="str">
        <f>IF(B17&gt;=B5,"Yes","No")</f>
        <v>Yes</v>
      </c>
      <c r="C19" s="38" t="inlineStr"/>
    </row>
    <row r="20">
      <c r="A20" s="43" t="inlineStr">
        <is>
          <t>Mass</t>
        </is>
      </c>
      <c r="B20" s="48">
        <f>B7*B14*Assumptions!$B$13/1000</f>
        <v>107.52</v>
      </c>
      <c r="C20" s="38" t="inlineStr">
        <is>
          <t>g</t>
        </is>
      </c>
    </row>
    <row r="21">
      <c r="A21" s="43" t="inlineStr">
        <is>
          <t>Copper cost (with plating uplift)</t>
        </is>
      </c>
      <c r="B21" s="53">
        <f>B20/1000*B10*(1+Assumptions!$B$15)</f>
        <v>1.241856</v>
      </c>
      <c r="C21" s="38" t="inlineStr">
        <is>
          <t>$</t>
        </is>
      </c>
    </row>
    <row r="23">
      <c r="A23" s="39" t="inlineStr">
        <is>
          <t>STOCK THICKNESS SWEEP AT FIXED CURRENT</t>
        </is>
      </c>
      <c r="B23" s="40" t="n"/>
      <c r="C23" s="40" t="n"/>
      <c r="D23" s="40" t="n"/>
      <c r="E23" s="40" t="n"/>
      <c r="F23" s="40" t="n"/>
      <c r="G23" s="40" t="n"/>
      <c r="H23" s="40" t="n"/>
    </row>
    <row r="24">
      <c r="A24" s="38" t="inlineStr">
        <is>
          <t>Each row is the narrowest bar of that stock thickness that carries the current at the allowed rise. Edit the stock list on Assumptions A83:A94.</t>
        </is>
      </c>
      <c r="K24" s="67" t="inlineStr">
        <is>
          <t>Load over k at the allowed rise</t>
        </is>
      </c>
      <c r="L24" s="67" t="inlineStr">
        <is>
          <t>Width solve (start, then 6 Newton steps), mm</t>
        </is>
      </c>
    </row>
    <row r="25">
      <c r="A25" s="41" t="inlineStr">
        <is>
          <t>Stock thickness (mm)</t>
        </is>
      </c>
      <c r="B25" s="42" t="inlineStr">
        <is>
          <t>Width needed (mm)</t>
        </is>
      </c>
      <c r="C25" s="42" t="inlineStr">
        <is>
          <t>Width : thickness</t>
        </is>
      </c>
      <c r="D25" s="42" t="inlineStr">
        <is>
          <t>Area (mm2)</t>
        </is>
      </c>
      <c r="E25" s="42" t="inlineStr">
        <is>
          <t>A/mm2</t>
        </is>
      </c>
      <c r="F25" s="42" t="inlineStr">
        <is>
          <t>Mass (g)</t>
        </is>
      </c>
      <c r="G25" s="42" t="inlineStr">
        <is>
          <t>Cost ($)</t>
        </is>
      </c>
      <c r="H25" s="42" t="inlineStr">
        <is>
          <t>Fits? (width within max)</t>
        </is>
      </c>
      <c r="I25" s="42" t="inlineStr">
        <is>
          <t>Cost if it fits ($)</t>
        </is>
      </c>
      <c r="K25" s="66">
        <f>$B$5/(Assumptions!$B$58*Assumptions!$B$63*Assumptions!$B$73*($B$6/Assumptions!$B$62)^Assumptions!$B$61)</f>
        <v>44.6114075186232</v>
      </c>
    </row>
    <row r="26">
      <c r="A26" s="57">
        <f>IF(Assumptions!$A$83="","",Assumptions!$A$83)</f>
        <v>0.8</v>
      </c>
      <c r="B26" s="58">
        <f>IF($A26="","",R26)</f>
        <v>59.3325461033999</v>
      </c>
      <c r="C26" s="58">
        <f>IF($A26="","",B26/A26)</f>
        <v>74.1656826292498</v>
      </c>
      <c r="D26" s="58">
        <f>IF($A26="","",A26*B26)</f>
        <v>47.4660368827199</v>
      </c>
      <c r="E26" s="57">
        <f>IF($A26="","",$B$5/D26)</f>
        <v>6.32030857645113</v>
      </c>
      <c r="F26" s="58">
        <f>IF($A26="","",$B$7*D26*Assumptions!$B$13/1000)</f>
        <v>63.7943535703755</v>
      </c>
      <c r="G26" s="59">
        <f>IF($A26="","",F26/1000*$B$10*(1+Assumptions!$B$15))</f>
        <v>0.736824783737838</v>
      </c>
      <c r="H26" s="60" t="str">
        <f>IF($A26="","",IF(B26&lt;=$B$11,"Yes","No"))</f>
        <v>No</v>
      </c>
      <c r="I26" s="59">
        <f>IF(H26="Yes",G26,"")</f>
        <v/>
      </c>
      <c r="L26" s="68">
        <f>IF($A26="","",$B$5/(Assumptions!$B$74*$A26))</f>
        <v>93.75</v>
      </c>
      <c r="M26" s="68">
        <f>IF($A26="","",IF($B$5&lt;=0,0,L26*EXP(-(Assumptions!$B$59*LN(L26*$A26)+Assumptions!$B$60*LN(2*(L26+$A26))-LN($K$25))/(Assumptions!$B$59+Assumptions!$B$60*L26/(L26+$A26)))))</f>
        <v>59.3593103196551</v>
      </c>
      <c r="N26" s="68">
        <f>IF($A26="","",IF($B$5&lt;=0,0,M26*EXP(-(Assumptions!$B$59*LN(M26*$A26)+Assumptions!$B$60*LN(2*(M26+$A26))-LN($K$25))/(Assumptions!$B$59+Assumptions!$B$60*M26/(M26+$A26)))))</f>
        <v>59.332546138301</v>
      </c>
      <c r="O26" s="68">
        <f>IF($A26="","",IF($B$5&lt;=0,0,N26*EXP(-(Assumptions!$B$59*LN(N26*$A26)+Assumptions!$B$60*LN(2*(N26+$A26))-LN($K$25))/(Assumptions!$B$59+Assumptions!$B$60*N26/(N26+$A26)))))</f>
        <v>59.3325461033999</v>
      </c>
      <c r="P26" s="68">
        <f>IF($A26="","",IF($B$5&lt;=0,0,O26*EXP(-(Assumptions!$B$59*LN(O26*$A26)+Assumptions!$B$60*LN(2*(O26+$A26))-LN($K$25))/(Assumptions!$B$59+Assumptions!$B$60*O26/(O26+$A26)))))</f>
        <v>59.3325461033999</v>
      </c>
      <c r="Q26" s="68">
        <f>IF($A26="","",IF($B$5&lt;=0,0,P26*EXP(-(Assumptions!$B$59*LN(P26*$A26)+Assumptions!$B$60*LN(2*(P26+$A26))-LN($K$25))/(Assumptions!$B$59+Assumptions!$B$60*P26/(P26+$A26)))))</f>
        <v>59.3325461033999</v>
      </c>
      <c r="R26" s="68">
        <f>IF($A26="","",IF($B$5&lt;=0,0,Q26*EXP(-(Assumptions!$B$59*LN(Q26*$A26)+Assumptions!$B$60*LN(2*(Q26+$A26))-LN($K$25))/(Assumptions!$B$59+Assumptions!$B$60*Q26/(Q26+$A26)))))</f>
        <v>59.3325461033999</v>
      </c>
    </row>
    <row r="27">
      <c r="A27" s="57">
        <f>IF(Assumptions!$A$84="","",Assumptions!$A$84)</f>
        <v>1</v>
      </c>
      <c r="B27" s="58">
        <f>IF($A27="","",R27)</f>
        <v>52.2140874380987</v>
      </c>
      <c r="C27" s="58">
        <f>IF($A27="","",B27/A27)</f>
        <v>52.2140874380987</v>
      </c>
      <c r="D27" s="58">
        <f>IF($A27="","",A27*B27)</f>
        <v>52.2140874380987</v>
      </c>
      <c r="E27" s="57">
        <f>IF($A27="","",$B$5/D27)</f>
        <v>5.7455758535598</v>
      </c>
      <c r="F27" s="58">
        <f>IF($A27="","",$B$7*D27*Assumptions!$B$13/1000)</f>
        <v>70.1757335168047</v>
      </c>
      <c r="G27" s="59">
        <f>IF($A27="","",F27/1000*$B$10*(1+Assumptions!$B$15))</f>
        <v>0.810529722119094</v>
      </c>
      <c r="H27" s="60" t="str">
        <f>IF($A27="","",IF(B27&lt;=$B$11,"Yes","No"))</f>
        <v>No</v>
      </c>
      <c r="I27" s="59">
        <f>IF(H27="Yes",G27,"")</f>
        <v/>
      </c>
      <c r="L27" s="68">
        <f>IF($A27="","",$B$5/(Assumptions!$B$74*$A27))</f>
        <v>75</v>
      </c>
      <c r="M27" s="68">
        <f>IF($A27="","",IF($B$5&lt;=0,0,L27*EXP(-(Assumptions!$B$59*LN(L27*$A27)+Assumptions!$B$60*LN(2*(L27+$A27))-LN($K$25))/(Assumptions!$B$59+Assumptions!$B$60*L27/(L27+$A27)))))</f>
        <v>52.2361997775416</v>
      </c>
      <c r="N27" s="68">
        <f>IF($A27="","",IF($B$5&lt;=0,0,M27*EXP(-(Assumptions!$B$59*LN(M27*$A27)+Assumptions!$B$60*LN(2*(M27+$A27))-LN($K$25))/(Assumptions!$B$59+Assumptions!$B$60*M27/(M27+$A27)))))</f>
        <v>52.2140874762184</v>
      </c>
      <c r="O27" s="68">
        <f>IF($A27="","",IF($B$5&lt;=0,0,N27*EXP(-(Assumptions!$B$59*LN(N27*$A27)+Assumptions!$B$60*LN(2*(N27+$A27))-LN($K$25))/(Assumptions!$B$59+Assumptions!$B$60*N27/(N27+$A27)))))</f>
        <v>52.2140874380987</v>
      </c>
      <c r="P27" s="68">
        <f>IF($A27="","",IF($B$5&lt;=0,0,O27*EXP(-(Assumptions!$B$59*LN(O27*$A27)+Assumptions!$B$60*LN(2*(O27+$A27))-LN($K$25))/(Assumptions!$B$59+Assumptions!$B$60*O27/(O27+$A27)))))</f>
        <v>52.2140874380987</v>
      </c>
      <c r="Q27" s="68">
        <f>IF($A27="","",IF($B$5&lt;=0,0,P27*EXP(-(Assumptions!$B$59*LN(P27*$A27)+Assumptions!$B$60*LN(2*(P27+$A27))-LN($K$25))/(Assumptions!$B$59+Assumptions!$B$60*P27/(P27+$A27)))))</f>
        <v>52.2140874380987</v>
      </c>
      <c r="R27" s="68">
        <f>IF($A27="","",IF($B$5&lt;=0,0,Q27*EXP(-(Assumptions!$B$59*LN(Q27*$A27)+Assumptions!$B$60*LN(2*(Q27+$A27))-LN($K$25))/(Assumptions!$B$59+Assumptions!$B$60*Q27/(Q27+$A27)))))</f>
        <v>52.2140874380987</v>
      </c>
    </row>
    <row r="28">
      <c r="A28" s="57">
        <f>IF(Assumptions!$A$85="","",Assumptions!$A$85)</f>
        <v>1.2</v>
      </c>
      <c r="B28" s="58">
        <f>IF($A28="","",R28)</f>
        <v>47.0020076897212</v>
      </c>
      <c r="C28" s="58">
        <f>IF($A28="","",B28/A28)</f>
        <v>39.1683397414344</v>
      </c>
      <c r="D28" s="58">
        <f>IF($A28="","",A28*B28)</f>
        <v>56.4024092276655</v>
      </c>
      <c r="E28" s="57">
        <f>IF($A28="","",$B$5/D28)</f>
        <v>5.31892172884079</v>
      </c>
      <c r="F28" s="58">
        <f>IF($A28="","",$B$7*D28*Assumptions!$B$13/1000)</f>
        <v>75.8048380019824</v>
      </c>
      <c r="G28" s="59">
        <f>IF($A28="","",F28/1000*$B$10*(1+Assumptions!$B$15))</f>
        <v>0.875545878922897</v>
      </c>
      <c r="H28" s="60" t="str">
        <f>IF($A28="","",IF(B28&lt;=$B$11,"Yes","No"))</f>
        <v>No</v>
      </c>
      <c r="I28" s="59">
        <f>IF(H28="Yes",G28,"")</f>
        <v/>
      </c>
      <c r="L28" s="68">
        <f>IF($A28="","",$B$5/(Assumptions!$B$74*$A28))</f>
        <v>62.5</v>
      </c>
      <c r="M28" s="68">
        <f>IF($A28="","",IF($B$5&lt;=0,0,L28*EXP(-(Assumptions!$B$59*LN(L28*$A28)+Assumptions!$B$60*LN(2*(L28+$A28))-LN($K$25))/(Assumptions!$B$59+Assumptions!$B$60*L28/(L28+$A28)))))</f>
        <v>47.0191210172127</v>
      </c>
      <c r="N28" s="68">
        <f>IF($A28="","",IF($B$5&lt;=0,0,M28*EXP(-(Assumptions!$B$59*LN(M28*$A28)+Assumptions!$B$60*LN(2*(M28+$A28))-LN($K$25))/(Assumptions!$B$59+Assumptions!$B$60*M28/(M28+$A28)))))</f>
        <v>47.0020077232076</v>
      </c>
      <c r="O28" s="68">
        <f>IF($A28="","",IF($B$5&lt;=0,0,N28*EXP(-(Assumptions!$B$59*LN(N28*$A28)+Assumptions!$B$60*LN(2*(N28+$A28))-LN($K$25))/(Assumptions!$B$59+Assumptions!$B$60*N28/(N28+$A28)))))</f>
        <v>47.0020076897212</v>
      </c>
      <c r="P28" s="68">
        <f>IF($A28="","",IF($B$5&lt;=0,0,O28*EXP(-(Assumptions!$B$59*LN(O28*$A28)+Assumptions!$B$60*LN(2*(O28+$A28))-LN($K$25))/(Assumptions!$B$59+Assumptions!$B$60*O28/(O28+$A28)))))</f>
        <v>47.0020076897212</v>
      </c>
      <c r="Q28" s="68">
        <f>IF($A28="","",IF($B$5&lt;=0,0,P28*EXP(-(Assumptions!$B$59*LN(P28*$A28)+Assumptions!$B$60*LN(2*(P28+$A28))-LN($K$25))/(Assumptions!$B$59+Assumptions!$B$60*P28/(P28+$A28)))))</f>
        <v>47.0020076897212</v>
      </c>
      <c r="R28" s="68">
        <f>IF($A28="","",IF($B$5&lt;=0,0,Q28*EXP(-(Assumptions!$B$59*LN(Q28*$A28)+Assumptions!$B$60*LN(2*(Q28+$A28))-LN($K$25))/(Assumptions!$B$59+Assumptions!$B$60*Q28/(Q28+$A28)))))</f>
        <v>47.0020076897212</v>
      </c>
    </row>
    <row r="29">
      <c r="A29" s="57">
        <f>IF(Assumptions!$A$86="","",Assumptions!$A$86)</f>
        <v>1.5</v>
      </c>
      <c r="B29" s="58">
        <f>IF($A29="","",R29)</f>
        <v>41.274018500104</v>
      </c>
      <c r="C29" s="58">
        <f>IF($A29="","",B29/A29)</f>
        <v>27.5160123334027</v>
      </c>
      <c r="D29" s="58">
        <f>IF($A29="","",A29*B29)</f>
        <v>61.911027750156</v>
      </c>
      <c r="E29" s="57">
        <f>IF($A29="","",$B$5/D29)</f>
        <v>4.84566338020845</v>
      </c>
      <c r="F29" s="58">
        <f>IF($A29="","",$B$7*D29*Assumptions!$B$13/1000)</f>
        <v>83.2084212962097</v>
      </c>
      <c r="G29" s="59">
        <f>IF($A29="","",F29/1000*$B$10*(1+Assumptions!$B$15))</f>
        <v>0.961057265971222</v>
      </c>
      <c r="H29" s="60" t="str">
        <f>IF($A29="","",IF(B29&lt;=$B$11,"Yes","No"))</f>
        <v>No</v>
      </c>
      <c r="I29" s="59">
        <f>IF(H29="Yes",G29,"")</f>
        <v/>
      </c>
      <c r="L29" s="68">
        <f>IF($A29="","",$B$5/(Assumptions!$B$74*$A29))</f>
        <v>50</v>
      </c>
      <c r="M29" s="68">
        <f>IF($A29="","",IF($B$5&lt;=0,0,L29*EXP(-(Assumptions!$B$59*LN(L29*$A29)+Assumptions!$B$60*LN(2*(L29+$A29))-LN($K$25))/(Assumptions!$B$59+Assumptions!$B$60*L29/(L29+$A29)))))</f>
        <v>41.284146248151</v>
      </c>
      <c r="N29" s="68">
        <f>IF($A29="","",IF($B$5&lt;=0,0,M29*EXP(-(Assumptions!$B$59*LN(M29*$A29)+Assumptions!$B$60*LN(2*(M29+$A29))-LN($K$25))/(Assumptions!$B$59+Assumptions!$B$60*M29/(M29+$A29)))))</f>
        <v>41.2740185188088</v>
      </c>
      <c r="O29" s="68">
        <f>IF($A29="","",IF($B$5&lt;=0,0,N29*EXP(-(Assumptions!$B$59*LN(N29*$A29)+Assumptions!$B$60*LN(2*(N29+$A29))-LN($K$25))/(Assumptions!$B$59+Assumptions!$B$60*N29/(N29+$A29)))))</f>
        <v>41.274018500104</v>
      </c>
      <c r="P29" s="68">
        <f>IF($A29="","",IF($B$5&lt;=0,0,O29*EXP(-(Assumptions!$B$59*LN(O29*$A29)+Assumptions!$B$60*LN(2*(O29+$A29))-LN($K$25))/(Assumptions!$B$59+Assumptions!$B$60*O29/(O29+$A29)))))</f>
        <v>41.274018500104</v>
      </c>
      <c r="Q29" s="68">
        <f>IF($A29="","",IF($B$5&lt;=0,0,P29*EXP(-(Assumptions!$B$59*LN(P29*$A29)+Assumptions!$B$60*LN(2*(P29+$A29))-LN($K$25))/(Assumptions!$B$59+Assumptions!$B$60*P29/(P29+$A29)))))</f>
        <v>41.274018500104</v>
      </c>
      <c r="R29" s="68">
        <f>IF($A29="","",IF($B$5&lt;=0,0,Q29*EXP(-(Assumptions!$B$59*LN(Q29*$A29)+Assumptions!$B$60*LN(2*(Q29+$A29))-LN($K$25))/(Assumptions!$B$59+Assumptions!$B$60*Q29/(Q29+$A29)))))</f>
        <v>41.274018500104</v>
      </c>
    </row>
    <row r="30">
      <c r="A30" s="57">
        <f>IF(Assumptions!$A$87="","",Assumptions!$A$87)</f>
        <v>2</v>
      </c>
      <c r="B30" s="58">
        <f>IF($A30="","",R30)</f>
        <v>34.8054381512051</v>
      </c>
      <c r="C30" s="58">
        <f>IF($A30="","",B30/A30)</f>
        <v>17.4027190756025</v>
      </c>
      <c r="D30" s="58">
        <f>IF($A30="","",A30*B30)</f>
        <v>69.6108763024101</v>
      </c>
      <c r="E30" s="57">
        <f>IF($A30="","",$B$5/D30)</f>
        <v>4.30967136079011</v>
      </c>
      <c r="F30" s="58">
        <f>IF($A30="","",$B$7*D30*Assumptions!$B$13/1000)</f>
        <v>93.5570177504392</v>
      </c>
      <c r="G30" s="59">
        <f>IF($A30="","",F30/1000*$B$10*(1+Assumptions!$B$15))</f>
        <v>1.08058355501757</v>
      </c>
      <c r="H30" s="60" t="str">
        <f>IF($A30="","",IF(B30&lt;=$B$11,"Yes","No"))</f>
        <v>No</v>
      </c>
      <c r="I30" s="59">
        <f>IF(H30="Yes",G30,"")</f>
        <v/>
      </c>
      <c r="L30" s="68">
        <f>IF($A30="","",$B$5/(Assumptions!$B$74*$A30))</f>
        <v>37.5</v>
      </c>
      <c r="M30" s="68">
        <f>IF($A30="","",IF($B$5&lt;=0,0,L30*EXP(-(Assumptions!$B$59*LN(L30*$A30)+Assumptions!$B$60*LN(2*(L30+$A30))-LN($K$25))/(Assumptions!$B$59+Assumptions!$B$60*L30/(L30+$A30)))))</f>
        <v>34.8075699644559</v>
      </c>
      <c r="N30" s="68">
        <f>IF($A30="","",IF($B$5&lt;=0,0,M30*EXP(-(Assumptions!$B$59*LN(M30*$A30)+Assumptions!$B$60*LN(2*(M30+$A30))-LN($K$25))/(Assumptions!$B$59+Assumptions!$B$60*M30/(M30+$A30)))))</f>
        <v>34.8054381527109</v>
      </c>
      <c r="O30" s="68">
        <f>IF($A30="","",IF($B$5&lt;=0,0,N30*EXP(-(Assumptions!$B$59*LN(N30*$A30)+Assumptions!$B$60*LN(2*(N30+$A30))-LN($K$25))/(Assumptions!$B$59+Assumptions!$B$60*N30/(N30+$A30)))))</f>
        <v>34.8054381512051</v>
      </c>
      <c r="P30" s="68">
        <f>IF($A30="","",IF($B$5&lt;=0,0,O30*EXP(-(Assumptions!$B$59*LN(O30*$A30)+Assumptions!$B$60*LN(2*(O30+$A30))-LN($K$25))/(Assumptions!$B$59+Assumptions!$B$60*O30/(O30+$A30)))))</f>
        <v>34.8054381512051</v>
      </c>
      <c r="Q30" s="68">
        <f>IF($A30="","",IF($B$5&lt;=0,0,P30*EXP(-(Assumptions!$B$59*LN(P30*$A30)+Assumptions!$B$60*LN(2*(P30+$A30))-LN($K$25))/(Assumptions!$B$59+Assumptions!$B$60*P30/(P30+$A30)))))</f>
        <v>34.8054381512051</v>
      </c>
      <c r="R30" s="68">
        <f>IF($A30="","",IF($B$5&lt;=0,0,Q30*EXP(-(Assumptions!$B$59*LN(Q30*$A30)+Assumptions!$B$60*LN(2*(Q30+$A30))-LN($K$25))/(Assumptions!$B$59+Assumptions!$B$60*Q30/(Q30+$A30)))))</f>
        <v>34.8054381512051</v>
      </c>
    </row>
    <row r="31">
      <c r="A31" s="57">
        <f>IF(Assumptions!$A$88="","",Assumptions!$A$88)</f>
        <v>2.5</v>
      </c>
      <c r="B31" s="58">
        <f>IF($A31="","",R31)</f>
        <v>30.3943892450873</v>
      </c>
      <c r="C31" s="58">
        <f>IF($A31="","",B31/A31)</f>
        <v>12.1577556980349</v>
      </c>
      <c r="D31" s="58">
        <f>IF($A31="","",A31*B31)</f>
        <v>75.9859731127183</v>
      </c>
      <c r="E31" s="57">
        <f>IF($A31="","",$B$5/D31)</f>
        <v>3.94809709885504</v>
      </c>
      <c r="F31" s="58">
        <f>IF($A31="","",$B$7*D31*Assumptions!$B$13/1000)</f>
        <v>102.125147863493</v>
      </c>
      <c r="G31" s="59">
        <f>IF($A31="","",F31/1000*$B$10*(1+Assumptions!$B$15))</f>
        <v>1.17954545782335</v>
      </c>
      <c r="H31" s="60" t="str">
        <f>IF($A31="","",IF(B31&lt;=$B$11,"Yes","No"))</f>
        <v>No</v>
      </c>
      <c r="I31" s="59">
        <f>IF(H31="Yes",G31,"")</f>
        <v/>
      </c>
      <c r="L31" s="68">
        <f>IF($A31="","",$B$5/(Assumptions!$B$74*$A31))</f>
        <v>30</v>
      </c>
      <c r="M31" s="68">
        <f>IF($A31="","",IF($B$5&lt;=0,0,L31*EXP(-(Assumptions!$B$59*LN(L31*$A31)+Assumptions!$B$60*LN(2*(L31+$A31))-LN($K$25))/(Assumptions!$B$59+Assumptions!$B$60*L31/(L31+$A31)))))</f>
        <v>30.3944724127991</v>
      </c>
      <c r="N31" s="68">
        <f>IF($A31="","",IF($B$5&lt;=0,0,M31*EXP(-(Assumptions!$B$59*LN(M31*$A31)+Assumptions!$B$60*LN(2*(M31+$A31))-LN($K$25))/(Assumptions!$B$59+Assumptions!$B$60*M31/(M31+$A31)))))</f>
        <v>30.3943892450909</v>
      </c>
      <c r="O31" s="68">
        <f>IF($A31="","",IF($B$5&lt;=0,0,N31*EXP(-(Assumptions!$B$59*LN(N31*$A31)+Assumptions!$B$60*LN(2*(N31+$A31))-LN($K$25))/(Assumptions!$B$59+Assumptions!$B$60*N31/(N31+$A31)))))</f>
        <v>30.3943892450873</v>
      </c>
      <c r="P31" s="68">
        <f>IF($A31="","",IF($B$5&lt;=0,0,O31*EXP(-(Assumptions!$B$59*LN(O31*$A31)+Assumptions!$B$60*LN(2*(O31+$A31))-LN($K$25))/(Assumptions!$B$59+Assumptions!$B$60*O31/(O31+$A31)))))</f>
        <v>30.3943892450873</v>
      </c>
      <c r="Q31" s="68">
        <f>IF($A31="","",IF($B$5&lt;=0,0,P31*EXP(-(Assumptions!$B$59*LN(P31*$A31)+Assumptions!$B$60*LN(2*(P31+$A31))-LN($K$25))/(Assumptions!$B$59+Assumptions!$B$60*P31/(P31+$A31)))))</f>
        <v>30.3943892450873</v>
      </c>
      <c r="R31" s="68">
        <f>IF($A31="","",IF($B$5&lt;=0,0,Q31*EXP(-(Assumptions!$B$59*LN(Q31*$A31)+Assumptions!$B$60*LN(2*(Q31+$A31))-LN($K$25))/(Assumptions!$B$59+Assumptions!$B$60*Q31/(Q31+$A31)))))</f>
        <v>30.3943892450873</v>
      </c>
    </row>
    <row r="32">
      <c r="A32" s="57">
        <f>IF(Assumptions!$A$89="","",Assumptions!$A$89)</f>
        <v>3</v>
      </c>
      <c r="B32" s="58">
        <f>IF($A32="","",R32)</f>
        <v>27.1262603133909</v>
      </c>
      <c r="C32" s="58">
        <f>IF($A32="","",B32/A32)</f>
        <v>9.0420867711303</v>
      </c>
      <c r="D32" s="58">
        <f>IF($A32="","",A32*B32)</f>
        <v>81.3787809401727</v>
      </c>
      <c r="E32" s="57">
        <f>IF($A32="","",$B$5/D32)</f>
        <v>3.68646465987923</v>
      </c>
      <c r="F32" s="58">
        <f>IF($A32="","",$B$7*D32*Assumptions!$B$13/1000)</f>
        <v>109.373081583592</v>
      </c>
      <c r="G32" s="59">
        <f>IF($A32="","",F32/1000*$B$10*(1+Assumptions!$B$15))</f>
        <v>1.26325909229049</v>
      </c>
      <c r="H32" s="60" t="str">
        <f>IF($A32="","",IF(B32&lt;=$B$11,"Yes","No"))</f>
        <v>Yes</v>
      </c>
      <c r="I32" s="59">
        <f>IF(H32="Yes",G32,"")</f>
        <v>1.26325909229049</v>
      </c>
      <c r="L32" s="68">
        <f>IF($A32="","",$B$5/(Assumptions!$B$74*$A32))</f>
        <v>25</v>
      </c>
      <c r="M32" s="68">
        <f>IF($A32="","",IF($B$5&lt;=0,0,L32*EXP(-(Assumptions!$B$59*LN(L32*$A32)+Assumptions!$B$60*LN(2*(L32+$A32))-LN($K$25))/(Assumptions!$B$59+Assumptions!$B$60*L32/(L32+$A32)))))</f>
        <v>27.1301514574869</v>
      </c>
      <c r="N32" s="68">
        <f>IF($A32="","",IF($B$5&lt;=0,0,M32*EXP(-(Assumptions!$B$59*LN(M32*$A32)+Assumptions!$B$60*LN(2*(M32+$A32))-LN($K$25))/(Assumptions!$B$59+Assumptions!$B$60*M32/(M32+$A32)))))</f>
        <v>27.1262603248542</v>
      </c>
      <c r="O32" s="68">
        <f>IF($A32="","",IF($B$5&lt;=0,0,N32*EXP(-(Assumptions!$B$59*LN(N32*$A32)+Assumptions!$B$60*LN(2*(N32+$A32))-LN($K$25))/(Assumptions!$B$59+Assumptions!$B$60*N32/(N32+$A32)))))</f>
        <v>27.1262603133909</v>
      </c>
      <c r="P32" s="68">
        <f>IF($A32="","",IF($B$5&lt;=0,0,O32*EXP(-(Assumptions!$B$59*LN(O32*$A32)+Assumptions!$B$60*LN(2*(O32+$A32))-LN($K$25))/(Assumptions!$B$59+Assumptions!$B$60*O32/(O32+$A32)))))</f>
        <v>27.1262603133909</v>
      </c>
      <c r="Q32" s="68">
        <f>IF($A32="","",IF($B$5&lt;=0,0,P32*EXP(-(Assumptions!$B$59*LN(P32*$A32)+Assumptions!$B$60*LN(2*(P32+$A32))-LN($K$25))/(Assumptions!$B$59+Assumptions!$B$60*P32/(P32+$A32)))))</f>
        <v>27.1262603133909</v>
      </c>
      <c r="R32" s="68">
        <f>IF($A32="","",IF($B$5&lt;=0,0,Q32*EXP(-(Assumptions!$B$59*LN(Q32*$A32)+Assumptions!$B$60*LN(2*(Q32+$A32))-LN($K$25))/(Assumptions!$B$59+Assumptions!$B$60*Q32/(Q32+$A32)))))</f>
        <v>27.1262603133909</v>
      </c>
    </row>
    <row r="33">
      <c r="A33" s="57">
        <f>IF(Assumptions!$A$90="","",Assumptions!$A$90)</f>
        <v>4</v>
      </c>
      <c r="B33" s="58">
        <f>IF($A33="","",R33)</f>
        <v>22.4910929333708</v>
      </c>
      <c r="C33" s="58">
        <f>IF($A33="","",B33/A33)</f>
        <v>5.62277323334271</v>
      </c>
      <c r="D33" s="58">
        <f>IF($A33="","",A33*B33)</f>
        <v>89.9643717334834</v>
      </c>
      <c r="E33" s="57">
        <f>IF($A33="","",$B$5/D33)</f>
        <v>3.33465342134262</v>
      </c>
      <c r="F33" s="58">
        <f>IF($A33="","",$B$7*D33*Assumptions!$B$13/1000)</f>
        <v>120.912115609802</v>
      </c>
      <c r="G33" s="59">
        <f>IF($A33="","",F33/1000*$B$10*(1+Assumptions!$B$15))</f>
        <v>1.39653493529321</v>
      </c>
      <c r="H33" s="60" t="str">
        <f>IF($A33="","",IF(B33&lt;=$B$11,"Yes","No"))</f>
        <v>Yes</v>
      </c>
      <c r="I33" s="59">
        <f>IF(H33="Yes",G33,"")</f>
        <v>1.39653493529321</v>
      </c>
      <c r="L33" s="68">
        <f>IF($A33="","",$B$5/(Assumptions!$B$74*$A33))</f>
        <v>18.75</v>
      </c>
      <c r="M33" s="68">
        <f>IF($A33="","",IF($B$5&lt;=0,0,L33*EXP(-(Assumptions!$B$59*LN(L33*$A33)+Assumptions!$B$60*LN(2*(L33+$A33))-LN($K$25))/(Assumptions!$B$59+Assumptions!$B$60*L33/(L33+$A33)))))</f>
        <v>22.5157171515396</v>
      </c>
      <c r="N33" s="68">
        <f>IF($A33="","",IF($B$5&lt;=0,0,M33*EXP(-(Assumptions!$B$59*LN(M33*$A33)+Assumptions!$B$60*LN(2*(M33+$A33))-LN($K$25))/(Assumptions!$B$59+Assumptions!$B$60*M33/(M33+$A33)))))</f>
        <v>22.4910937429048</v>
      </c>
      <c r="O33" s="68">
        <f>IF($A33="","",IF($B$5&lt;=0,0,N33*EXP(-(Assumptions!$B$59*LN(N33*$A33)+Assumptions!$B$60*LN(2*(N33+$A33))-LN($K$25))/(Assumptions!$B$59+Assumptions!$B$60*N33/(N33+$A33)))))</f>
        <v>22.4910929333708</v>
      </c>
      <c r="P33" s="68">
        <f>IF($A33="","",IF($B$5&lt;=0,0,O33*EXP(-(Assumptions!$B$59*LN(O33*$A33)+Assumptions!$B$60*LN(2*(O33+$A33))-LN($K$25))/(Assumptions!$B$59+Assumptions!$B$60*O33/(O33+$A33)))))</f>
        <v>22.4910929333708</v>
      </c>
      <c r="Q33" s="68">
        <f>IF($A33="","",IF($B$5&lt;=0,0,P33*EXP(-(Assumptions!$B$59*LN(P33*$A33)+Assumptions!$B$60*LN(2*(P33+$A33))-LN($K$25))/(Assumptions!$B$59+Assumptions!$B$60*P33/(P33+$A33)))))</f>
        <v>22.4910929333708</v>
      </c>
      <c r="R33" s="68">
        <f>IF($A33="","",IF($B$5&lt;=0,0,Q33*EXP(-(Assumptions!$B$59*LN(Q33*$A33)+Assumptions!$B$60*LN(2*(Q33+$A33))-LN($K$25))/(Assumptions!$B$59+Assumptions!$B$60*Q33/(Q33+$A33)))))</f>
        <v>22.4910929333708</v>
      </c>
    </row>
    <row r="34">
      <c r="A34" s="57">
        <f>IF(Assumptions!$A$91="","",Assumptions!$A$91)</f>
        <v>5</v>
      </c>
      <c r="B34" s="58">
        <f>IF($A34="","",R34)</f>
        <v>19.2667754215398</v>
      </c>
      <c r="C34" s="58">
        <f>IF($A34="","",B34/A34)</f>
        <v>3.85335508430797</v>
      </c>
      <c r="D34" s="58">
        <f>IF($A34="","",A34*B34)</f>
        <v>96.3338771076992</v>
      </c>
      <c r="E34" s="57">
        <f>IF($A34="","",$B$5/D34)</f>
        <v>3.11416927260808</v>
      </c>
      <c r="F34" s="58">
        <f>IF($A34="","",$B$7*D34*Assumptions!$B$13/1000)</f>
        <v>129.472730832748</v>
      </c>
      <c r="G34" s="59">
        <f>IF($A34="","",F34/1000*$B$10*(1+Assumptions!$B$15))</f>
        <v>1.49541004111824</v>
      </c>
      <c r="H34" s="60" t="str">
        <f>IF($A34="","",IF(B34&lt;=$B$11,"Yes","No"))</f>
        <v>Yes</v>
      </c>
      <c r="I34" s="59">
        <f>IF(H34="Yes",G34,"")</f>
        <v>1.49541004111824</v>
      </c>
      <c r="L34" s="68">
        <f>IF($A34="","",$B$5/(Assumptions!$B$74*$A34))</f>
        <v>15</v>
      </c>
      <c r="M34" s="68">
        <f>IF($A34="","",IF($B$5&lt;=0,0,L34*EXP(-(Assumptions!$B$59*LN(L34*$A34)+Assumptions!$B$60*LN(2*(L34+$A34))-LN($K$25))/(Assumptions!$B$59+Assumptions!$B$60*L34/(L34+$A34)))))</f>
        <v>19.3202007333048</v>
      </c>
      <c r="N34" s="68">
        <f>IF($A34="","",IF($B$5&lt;=0,0,M34*EXP(-(Assumptions!$B$59*LN(M34*$A34)+Assumptions!$B$60*LN(2*(M34+$A34))-LN($K$25))/(Assumptions!$B$59+Assumptions!$B$60*M34/(M34+$A34)))))</f>
        <v>19.266781234694</v>
      </c>
      <c r="O34" s="68">
        <f>IF($A34="","",IF($B$5&lt;=0,0,N34*EXP(-(Assumptions!$B$59*LN(N34*$A34)+Assumptions!$B$60*LN(2*(N34+$A34))-LN($K$25))/(Assumptions!$B$59+Assumptions!$B$60*N34/(N34+$A34)))))</f>
        <v>19.2667754215398</v>
      </c>
      <c r="P34" s="68">
        <f>IF($A34="","",IF($B$5&lt;=0,0,O34*EXP(-(Assumptions!$B$59*LN(O34*$A34)+Assumptions!$B$60*LN(2*(O34+$A34))-LN($K$25))/(Assumptions!$B$59+Assumptions!$B$60*O34/(O34+$A34)))))</f>
        <v>19.2667754215398</v>
      </c>
      <c r="Q34" s="68">
        <f>IF($A34="","",IF($B$5&lt;=0,0,P34*EXP(-(Assumptions!$B$59*LN(P34*$A34)+Assumptions!$B$60*LN(2*(P34+$A34))-LN($K$25))/(Assumptions!$B$59+Assumptions!$B$60*P34/(P34+$A34)))))</f>
        <v>19.2667754215398</v>
      </c>
      <c r="R34" s="68">
        <f>IF($A34="","",IF($B$5&lt;=0,0,Q34*EXP(-(Assumptions!$B$59*LN(Q34*$A34)+Assumptions!$B$60*LN(2*(Q34+$A34))-LN($K$25))/(Assumptions!$B$59+Assumptions!$B$60*Q34/(Q34+$A34)))))</f>
        <v>19.2667754215398</v>
      </c>
    </row>
    <row r="35">
      <c r="A35" s="57">
        <f>IF(Assumptions!$A$92="","",Assumptions!$A$92)</f>
        <v/>
      </c>
      <c r="B35" s="58">
        <f>IF($A35="","",R35)</f>
        <v/>
      </c>
      <c r="C35" s="58">
        <f>IF($A35="","",B35/A35)</f>
        <v/>
      </c>
      <c r="D35" s="58">
        <f>IF($A35="","",A35*B35)</f>
        <v/>
      </c>
      <c r="E35" s="57">
        <f>IF($A35="","",$B$5/D35)</f>
        <v/>
      </c>
      <c r="F35" s="58">
        <f>IF($A35="","",$B$7*D35*Assumptions!$B$13/1000)</f>
        <v/>
      </c>
      <c r="G35" s="59">
        <f>IF($A35="","",F35/1000*$B$10*(1+Assumptions!$B$15))</f>
        <v/>
      </c>
      <c r="H35" s="60">
        <f>IF($A35="","",IF(B35&lt;=$B$11,"Yes","No"))</f>
        <v/>
      </c>
      <c r="I35" s="59">
        <f>IF(H35="Yes",G35,"")</f>
        <v/>
      </c>
      <c r="L35" s="68">
        <f>IF($A35="","",$B$5/(Assumptions!$B$74*$A35))</f>
        <v/>
      </c>
      <c r="M35" s="68">
        <f>IF($A35="","",IF($B$5&lt;=0,0,L35*EXP(-(Assumptions!$B$59*LN(L35*$A35)+Assumptions!$B$60*LN(2*(L35+$A35))-LN($K$25))/(Assumptions!$B$59+Assumptions!$B$60*L35/(L35+$A35)))))</f>
        <v/>
      </c>
      <c r="N35" s="68">
        <f>IF($A35="","",IF($B$5&lt;=0,0,M35*EXP(-(Assumptions!$B$59*LN(M35*$A35)+Assumptions!$B$60*LN(2*(M35+$A35))-LN($K$25))/(Assumptions!$B$59+Assumptions!$B$60*M35/(M35+$A35)))))</f>
        <v/>
      </c>
      <c r="O35" s="68">
        <f>IF($A35="","",IF($B$5&lt;=0,0,N35*EXP(-(Assumptions!$B$59*LN(N35*$A35)+Assumptions!$B$60*LN(2*(N35+$A35))-LN($K$25))/(Assumptions!$B$59+Assumptions!$B$60*N35/(N35+$A35)))))</f>
        <v/>
      </c>
      <c r="P35" s="68">
        <f>IF($A35="","",IF($B$5&lt;=0,0,O35*EXP(-(Assumptions!$B$59*LN(O35*$A35)+Assumptions!$B$60*LN(2*(O35+$A35))-LN($K$25))/(Assumptions!$B$59+Assumptions!$B$60*O35/(O35+$A35)))))</f>
        <v/>
      </c>
      <c r="Q35" s="68">
        <f>IF($A35="","",IF($B$5&lt;=0,0,P35*EXP(-(Assumptions!$B$59*LN(P35*$A35)+Assumptions!$B$60*LN(2*(P35+$A35))-LN($K$25))/(Assumptions!$B$59+Assumptions!$B$60*P35/(P35+$A35)))))</f>
        <v/>
      </c>
      <c r="R35" s="68">
        <f>IF($A35="","",IF($B$5&lt;=0,0,Q35*EXP(-(Assumptions!$B$59*LN(Q35*$A35)+Assumptions!$B$60*LN(2*(Q35+$A35))-LN($K$25))/(Assumptions!$B$59+Assumptions!$B$60*Q35/(Q35+$A35)))))</f>
        <v/>
      </c>
    </row>
    <row r="36">
      <c r="A36" s="57">
        <f>IF(Assumptions!$A$93="","",Assumptions!$A$93)</f>
        <v/>
      </c>
      <c r="B36" s="58">
        <f>IF($A36="","",R36)</f>
        <v/>
      </c>
      <c r="C36" s="58">
        <f>IF($A36="","",B36/A36)</f>
        <v/>
      </c>
      <c r="D36" s="58">
        <f>IF($A36="","",A36*B36)</f>
        <v/>
      </c>
      <c r="E36" s="57">
        <f>IF($A36="","",$B$5/D36)</f>
        <v/>
      </c>
      <c r="F36" s="58">
        <f>IF($A36="","",$B$7*D36*Assumptions!$B$13/1000)</f>
        <v/>
      </c>
      <c r="G36" s="59">
        <f>IF($A36="","",F36/1000*$B$10*(1+Assumptions!$B$15))</f>
        <v/>
      </c>
      <c r="H36" s="60">
        <f>IF($A36="","",IF(B36&lt;=$B$11,"Yes","No"))</f>
        <v/>
      </c>
      <c r="I36" s="59">
        <f>IF(H36="Yes",G36,"")</f>
        <v/>
      </c>
      <c r="L36" s="68">
        <f>IF($A36="","",$B$5/(Assumptions!$B$74*$A36))</f>
        <v/>
      </c>
      <c r="M36" s="68">
        <f>IF($A36="","",IF($B$5&lt;=0,0,L36*EXP(-(Assumptions!$B$59*LN(L36*$A36)+Assumptions!$B$60*LN(2*(L36+$A36))-LN($K$25))/(Assumptions!$B$59+Assumptions!$B$60*L36/(L36+$A36)))))</f>
        <v/>
      </c>
      <c r="N36" s="68">
        <f>IF($A36="","",IF($B$5&lt;=0,0,M36*EXP(-(Assumptions!$B$59*LN(M36*$A36)+Assumptions!$B$60*LN(2*(M36+$A36))-LN($K$25))/(Assumptions!$B$59+Assumptions!$B$60*M36/(M36+$A36)))))</f>
        <v/>
      </c>
      <c r="O36" s="68">
        <f>IF($A36="","",IF($B$5&lt;=0,0,N36*EXP(-(Assumptions!$B$59*LN(N36*$A36)+Assumptions!$B$60*LN(2*(N36+$A36))-LN($K$25))/(Assumptions!$B$59+Assumptions!$B$60*N36/(N36+$A36)))))</f>
        <v/>
      </c>
      <c r="P36" s="68">
        <f>IF($A36="","",IF($B$5&lt;=0,0,O36*EXP(-(Assumptions!$B$59*LN(O36*$A36)+Assumptions!$B$60*LN(2*(O36+$A36))-LN($K$25))/(Assumptions!$B$59+Assumptions!$B$60*O36/(O36+$A36)))))</f>
        <v/>
      </c>
      <c r="Q36" s="68">
        <f>IF($A36="","",IF($B$5&lt;=0,0,P36*EXP(-(Assumptions!$B$59*LN(P36*$A36)+Assumptions!$B$60*LN(2*(P36+$A36))-LN($K$25))/(Assumptions!$B$59+Assumptions!$B$60*P36/(P36+$A36)))))</f>
        <v/>
      </c>
      <c r="R36" s="68">
        <f>IF($A36="","",IF($B$5&lt;=0,0,Q36*EXP(-(Assumptions!$B$59*LN(Q36*$A36)+Assumptions!$B$60*LN(2*(Q36+$A36))-LN($K$25))/(Assumptions!$B$59+Assumptions!$B$60*Q36/(Q36+$A36)))))</f>
        <v/>
      </c>
    </row>
    <row r="37">
      <c r="A37" s="57">
        <f>IF(Assumptions!$A$94="","",Assumptions!$A$94)</f>
        <v/>
      </c>
      <c r="B37" s="58">
        <f>IF($A37="","",R37)</f>
        <v/>
      </c>
      <c r="C37" s="58">
        <f>IF($A37="","",B37/A37)</f>
        <v/>
      </c>
      <c r="D37" s="58">
        <f>IF($A37="","",A37*B37)</f>
        <v/>
      </c>
      <c r="E37" s="57">
        <f>IF($A37="","",$B$5/D37)</f>
        <v/>
      </c>
      <c r="F37" s="58">
        <f>IF($A37="","",$B$7*D37*Assumptions!$B$13/1000)</f>
        <v/>
      </c>
      <c r="G37" s="59">
        <f>IF($A37="","",F37/1000*$B$10*(1+Assumptions!$B$15))</f>
        <v/>
      </c>
      <c r="H37" s="60">
        <f>IF($A37="","",IF(B37&lt;=$B$11,"Yes","No"))</f>
        <v/>
      </c>
      <c r="I37" s="59">
        <f>IF(H37="Yes",G37,"")</f>
        <v/>
      </c>
      <c r="L37" s="68">
        <f>IF($A37="","",$B$5/(Assumptions!$B$74*$A37))</f>
        <v/>
      </c>
      <c r="M37" s="68">
        <f>IF($A37="","",IF($B$5&lt;=0,0,L37*EXP(-(Assumptions!$B$59*LN(L37*$A37)+Assumptions!$B$60*LN(2*(L37+$A37))-LN($K$25))/(Assumptions!$B$59+Assumptions!$B$60*L37/(L37+$A37)))))</f>
        <v/>
      </c>
      <c r="N37" s="68">
        <f>IF($A37="","",IF($B$5&lt;=0,0,M37*EXP(-(Assumptions!$B$59*LN(M37*$A37)+Assumptions!$B$60*LN(2*(M37+$A37))-LN($K$25))/(Assumptions!$B$59+Assumptions!$B$60*M37/(M37+$A37)))))</f>
        <v/>
      </c>
      <c r="O37" s="68">
        <f>IF($A37="","",IF($B$5&lt;=0,0,N37*EXP(-(Assumptions!$B$59*LN(N37*$A37)+Assumptions!$B$60*LN(2*(N37+$A37))-LN($K$25))/(Assumptions!$B$59+Assumptions!$B$60*N37/(N37+$A37)))))</f>
        <v/>
      </c>
      <c r="P37" s="68">
        <f>IF($A37="","",IF($B$5&lt;=0,0,O37*EXP(-(Assumptions!$B$59*LN(O37*$A37)+Assumptions!$B$60*LN(2*(O37+$A37))-LN($K$25))/(Assumptions!$B$59+Assumptions!$B$60*O37/(O37+$A37)))))</f>
        <v/>
      </c>
      <c r="Q37" s="68">
        <f>IF($A37="","",IF($B$5&lt;=0,0,P37*EXP(-(Assumptions!$B$59*LN(P37*$A37)+Assumptions!$B$60*LN(2*(P37+$A37))-LN($K$25))/(Assumptions!$B$59+Assumptions!$B$60*P37/(P37+$A37)))))</f>
        <v/>
      </c>
      <c r="R37" s="68">
        <f>IF($A37="","",IF($B$5&lt;=0,0,Q37*EXP(-(Assumptions!$B$59*LN(Q37*$A37)+Assumptions!$B$60*LN(2*(Q37+$A37))-LN($K$25))/(Assumptions!$B$59+Assumptions!$B$60*Q37/(Q37+$A37)))))</f>
        <v/>
      </c>
    </row>
    <row r="39">
      <c r="A39" s="61" t="inlineStr">
        <is>
          <t>Cheapest stock thickness that fits</t>
        </is>
      </c>
      <c r="B39" s="62">
        <f>IF(COUNT(I26:I37)=0,"None fit",INDEX(A26:A37,MATCH(MIN(I26:I37),I26:I37,0)))</f>
        <v>3</v>
      </c>
      <c r="C39" s="38" t="inlineStr">
        <is>
          <t>mm</t>
        </is>
      </c>
    </row>
    <row r="40">
      <c r="A40" s="43" t="inlineStr">
        <is>
          <t>Its cost</t>
        </is>
      </c>
      <c r="B40" s="49">
        <f>IF(COUNT(I26:I37)=0,"-",MIN(I26:I37))</f>
        <v>1.26325909229049</v>
      </c>
    </row>
    <row r="41">
      <c r="A41" s="38" t="inlineStr">
        <is>
          <t>Its width</t>
        </is>
      </c>
      <c r="B41" s="69">
        <f>IF(COUNT(I26:I37)=0,"-",INDEX(B26:B37,MATCH(MIN(I26:I37),I26:I37,0)))</f>
        <v>27.1262603133909</v>
      </c>
      <c r="C41" t="inlineStr">
        <is>
          <t>mm</t>
        </is>
      </c>
    </row>
    <row r="42">
      <c r="A42" s="38" t="inlineStr">
        <is>
          <t>Cost keeps falling as the bar gets thinner and wider, so the cheapest bar is usually the thinnest stock that fits the max width. Stiffness is the other limit.</t>
        </is>
      </c>
    </row>
  </sheetData>
  <dataValidations count="1">
    <dataValidation sqref="B9" showDropDown="0" showInputMessage="0" showErrorMessage="1" allowBlank="0" error="Pick a mill stock thickness (Assumptions A83:A94)." type="list">
      <formula1>Assumptions!$A$83:$A$94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4"/>
  <sheetViews>
    <sheetView showGridLines="0" topLeftCell="A24" zoomScaleNormal="100" workbookViewId="0">
      <selection activeCell="A1" sqref="A1"/>
    </sheetView>
  </sheetViews>
  <sheetFormatPr baseColWidth="8" defaultColWidth="8.7109375" defaultRowHeight="15"/>
  <cols>
    <col width="40" customWidth="1" min="1" max="1"/>
    <col width="16" customWidth="1" min="2" max="2"/>
    <col width="14" customWidth="1" min="3" max="5"/>
    <col width="18" customWidth="1" min="6" max="6"/>
    <col width="12" customWidth="1" min="7" max="8"/>
    <col width="14" customWidth="1" min="9" max="10"/>
  </cols>
  <sheetData>
    <row r="1" ht="18" customHeight="1">
      <c r="A1" s="1" t="inlineStr">
        <is>
          <t>Assumptions (placeholders)</t>
        </is>
      </c>
    </row>
    <row r="2">
      <c r="A2" s="2" t="inlineStr">
        <is>
          <t>Every yellow cell is a placeholder. Replace with your own values, OEM requirements or supplier quotes. Blue text = input. See the Assumption Diagram sheet for a picture of what each dimension controls.</t>
        </is>
      </c>
    </row>
    <row r="3">
      <c r="A3" s="3" t="inlineStr">
        <is>
          <t>General geometry, material and process</t>
        </is>
      </c>
      <c r="B3" s="4" t="n"/>
      <c r="C3" s="4" t="n"/>
      <c r="D3" s="4" t="n"/>
    </row>
    <row r="4">
      <c r="A4" s="5" t="inlineStr">
        <is>
          <t>Base floor thickness</t>
        </is>
      </c>
      <c r="B4" s="26" t="n">
        <v>3</v>
      </c>
      <c r="C4" s="5" t="inlineStr">
        <is>
          <t>mm</t>
        </is>
      </c>
      <c r="D4" s="2" t="inlineStr">
        <is>
          <t>Placeholder</t>
        </is>
      </c>
    </row>
    <row r="5">
      <c r="A5" s="5" t="inlineStr">
        <is>
          <t>Outer wall thickness</t>
        </is>
      </c>
      <c r="B5" s="26" t="n">
        <v>2.5</v>
      </c>
      <c r="C5" s="5" t="inlineStr">
        <is>
          <t>mm</t>
        </is>
      </c>
      <c r="D5" s="2" t="inlineStr">
        <is>
          <t>Placeholder</t>
        </is>
      </c>
    </row>
    <row r="6">
      <c r="A6" s="5" t="inlineStr">
        <is>
          <t>Divider thickness between fuse slots</t>
        </is>
      </c>
      <c r="B6" s="26" t="n">
        <v>2</v>
      </c>
      <c r="C6" s="5" t="inlineStr">
        <is>
          <t>mm</t>
        </is>
      </c>
      <c r="D6" s="2" t="inlineStr">
        <is>
          <t>Placeholder</t>
        </is>
      </c>
    </row>
    <row r="7">
      <c r="A7" s="5" t="inlineStr">
        <is>
          <t>Divider height as fraction of wall height</t>
        </is>
      </c>
      <c r="B7" s="26" t="n">
        <v>0.6</v>
      </c>
      <c r="C7" s="5" t="inlineStr">
        <is>
          <t>ratio</t>
        </is>
      </c>
      <c r="D7" s="2" t="inlineStr">
        <is>
          <t>Raised automatically to meet the creepage value</t>
        </is>
      </c>
    </row>
    <row r="8">
      <c r="A8" s="5" t="inlineStr">
        <is>
          <t>Cover thickness</t>
        </is>
      </c>
      <c r="B8" s="26" t="n">
        <v>2</v>
      </c>
      <c r="C8" s="5" t="inlineStr">
        <is>
          <t>mm</t>
        </is>
      </c>
      <c r="D8" s="2" t="inlineStr">
        <is>
          <t>Placeholder</t>
        </is>
      </c>
    </row>
    <row r="9">
      <c r="A9" s="5" t="inlineStr">
        <is>
          <t>Cover skirt height</t>
        </is>
      </c>
      <c r="B9" s="26" t="n">
        <v>8</v>
      </c>
      <c r="C9" s="5" t="inlineStr">
        <is>
          <t>mm</t>
        </is>
      </c>
      <c r="D9" s="2" t="inlineStr">
        <is>
          <t>Placeholder</t>
        </is>
      </c>
    </row>
    <row r="10">
      <c r="A10" s="5" t="inlineStr">
        <is>
          <t>PA66-GF30 density</t>
        </is>
      </c>
      <c r="B10" s="26" t="n">
        <v>1.36</v>
      </c>
      <c r="C10" s="5" t="inlineStr">
        <is>
          <t>g/cm3</t>
        </is>
      </c>
      <c r="D10" s="2" t="inlineStr">
        <is>
          <t>Typical datasheet value, confirm with your grade</t>
        </is>
      </c>
    </row>
    <row r="11">
      <c r="A11" s="5" t="inlineStr">
        <is>
          <t>Rib, boss and detail allowance on base</t>
        </is>
      </c>
      <c r="B11" s="27" t="n">
        <v>0.1</v>
      </c>
      <c r="C11" s="5" t="inlineStr">
        <is>
          <t>%</t>
        </is>
      </c>
      <c r="D11" s="2" t="inlineStr">
        <is>
          <t>Placeholder, covers ribs and features not modeled</t>
        </is>
      </c>
    </row>
    <row r="12">
      <c r="A12" s="5" t="inlineStr">
        <is>
          <t>Scrap and runner allowance</t>
        </is>
      </c>
      <c r="B12" s="27" t="n">
        <v>0.05</v>
      </c>
      <c r="C12" s="5" t="inlineStr">
        <is>
          <t>%</t>
        </is>
      </c>
      <c r="D12" s="2" t="inlineStr">
        <is>
          <t>Placeholder</t>
        </is>
      </c>
    </row>
    <row r="13">
      <c r="A13" s="5" t="inlineStr">
        <is>
          <t>Copper density</t>
        </is>
      </c>
      <c r="B13" s="26" t="n">
        <v>8.960000000000001</v>
      </c>
      <c r="C13" s="5" t="inlineStr">
        <is>
          <t>g/cm3</t>
        </is>
      </c>
      <c r="D13" s="2" t="inlineStr">
        <is>
          <t>Standard value</t>
        </is>
      </c>
    </row>
    <row r="14">
      <c r="A14" s="5" t="inlineStr">
        <is>
          <t>Copper design current density (100% IACS)</t>
        </is>
      </c>
      <c r="B14" s="26" t="n">
        <v>4</v>
      </c>
      <c r="C14" s="5" t="inlineStr">
        <is>
          <t>A/mm2</t>
        </is>
      </c>
      <c r="D14" s="2" t="inlineStr">
        <is>
          <t>Placeholder, set from your temperature rise target</t>
        </is>
      </c>
    </row>
    <row r="15">
      <c r="A15" s="5" t="inlineStr">
        <is>
          <t>Plating cost uplift on copper</t>
        </is>
      </c>
      <c r="B15" s="27" t="n">
        <v>0.05</v>
      </c>
      <c r="C15" s="5" t="inlineStr">
        <is>
          <t>%</t>
        </is>
      </c>
      <c r="D15" s="2" t="inlineStr">
        <is>
          <t>Placeholder, tin plating</t>
        </is>
      </c>
    </row>
    <row r="16">
      <c r="A16" s="5" t="inlineStr">
        <is>
          <t>Minimum bus width as multiple of bolt diameter</t>
        </is>
      </c>
      <c r="B16" s="26" t="n">
        <v>2.5</v>
      </c>
      <c r="C16" s="5" t="inlineStr">
        <is>
          <t>x d</t>
        </is>
      </c>
      <c r="D16" s="2" t="inlineStr">
        <is>
          <t>Placeholder, edge distance rule</t>
        </is>
      </c>
    </row>
    <row r="17">
      <c r="A17" s="5" t="inlineStr">
        <is>
          <t>OEM socket extra radial clearance</t>
        </is>
      </c>
      <c r="B17" s="26" t="n">
        <v>1</v>
      </c>
      <c r="C17" s="5" t="inlineStr">
        <is>
          <t>mm</t>
        </is>
      </c>
      <c r="D17" s="2" t="inlineStr">
        <is>
          <t>Not used from v1.6. Enter the OEM socket clearance diameter in F31:F33</t>
        </is>
      </c>
    </row>
    <row r="18">
      <c r="A18" s="5" t="inlineStr">
        <is>
          <t>Cover hood volume per B+ eyelet, 90 degree exit</t>
        </is>
      </c>
      <c r="B18" s="28" t="n">
        <v>7000</v>
      </c>
      <c r="C18" s="5" t="inlineStr">
        <is>
          <t>mm3</t>
        </is>
      </c>
      <c r="D18" s="2" t="inlineStr">
        <is>
          <t>Placeholder</t>
        </is>
      </c>
    </row>
    <row r="19">
      <c r="A19" s="5" t="inlineStr">
        <is>
          <t>Cover extension volume per B+ eyelet, flat exit</t>
        </is>
      </c>
      <c r="B19" s="28" t="n">
        <v>2500</v>
      </c>
      <c r="C19" s="5" t="inlineStr">
        <is>
          <t>mm3</t>
        </is>
      </c>
      <c r="D19" s="2" t="inlineStr">
        <is>
          <t>Placeholder</t>
        </is>
      </c>
    </row>
    <row r="20">
      <c r="A20" s="5" t="inlineStr">
        <is>
          <t>Cable lug thickness on the fuse terminal</t>
        </is>
      </c>
      <c r="B20" s="26" t="n">
        <v>2</v>
      </c>
      <c r="C20" s="5" t="inlineStr">
        <is>
          <t>mm</t>
        </is>
      </c>
      <c r="D20" s="2" t="inlineStr">
        <is>
          <t>Placeholder, adds to the tallest bolt stack at the output side</t>
        </is>
      </c>
    </row>
    <row r="21">
      <c r="A21" s="3" t="inlineStr">
        <is>
          <t>Clearance and creepage by system voltage</t>
        </is>
      </c>
      <c r="B21" s="4" t="n"/>
      <c r="C21" s="4" t="n"/>
      <c r="D21" s="4" t="n"/>
    </row>
    <row r="22">
      <c r="A22" s="29" t="inlineStr">
        <is>
          <t>Lower bound (V)</t>
        </is>
      </c>
      <c r="B22" s="29" t="inlineStr">
        <is>
          <t>Clearance (mm)</t>
        </is>
      </c>
      <c r="C22" s="29" t="inlineStr">
        <is>
          <t>Creepage (mm)</t>
        </is>
      </c>
      <c r="D22" s="29" t="inlineStr">
        <is>
          <t>Note</t>
        </is>
      </c>
    </row>
    <row r="23">
      <c r="A23" s="26" t="n">
        <v>0</v>
      </c>
      <c r="B23" s="22" t="n">
        <v>1.5</v>
      </c>
      <c r="C23" s="22" t="n">
        <v>2</v>
      </c>
      <c r="D23" s="2" t="inlineStr">
        <is>
          <t>Row used = highest lower bound at or below the system voltage. Placeholders, set to your OEM spec.</t>
        </is>
      </c>
    </row>
    <row r="24">
      <c r="A24" s="26" t="n">
        <v>16.01</v>
      </c>
      <c r="B24" s="22" t="n">
        <v>2.5</v>
      </c>
      <c r="C24" s="22" t="n">
        <v>3.5</v>
      </c>
    </row>
    <row r="25">
      <c r="A25" s="26" t="n">
        <v>32.01</v>
      </c>
      <c r="B25" s="22" t="n">
        <v>3</v>
      </c>
      <c r="C25" s="22" t="n">
        <v>4</v>
      </c>
    </row>
    <row r="26">
      <c r="A26" s="26" t="n">
        <v>60.01</v>
      </c>
      <c r="B26" s="22" t="n">
        <v>4</v>
      </c>
      <c r="C26" s="22" t="n">
        <v>6</v>
      </c>
    </row>
    <row r="29">
      <c r="A29" s="3" t="inlineStr">
        <is>
          <t>Bolt sizes and OEM socket clearance</t>
        </is>
      </c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</row>
    <row r="30" ht="30" customHeight="1">
      <c r="A30" s="14" t="inlineStr">
        <is>
          <t>Bolt</t>
        </is>
      </c>
      <c r="B30" s="14" t="inlineStr">
        <is>
          <t>Thread dia (mm)</t>
        </is>
      </c>
      <c r="C30" s="14" t="inlineStr">
        <is>
          <t>Hole dia (mm)</t>
        </is>
      </c>
      <c r="D30" s="14" t="inlineStr">
        <is>
          <t>Socket AF (mm)</t>
        </is>
      </c>
      <c r="E30" s="14" t="inlineStr">
        <is>
          <t>Socket OD (mm)</t>
        </is>
      </c>
      <c r="F30" s="14" t="inlineStr">
        <is>
          <t>OEM socket clearance dia (mm)</t>
        </is>
      </c>
      <c r="G30" s="14" t="inlineStr">
        <is>
          <t>Nut height (mm)</t>
        </is>
      </c>
      <c r="H30" s="14" t="inlineStr">
        <is>
          <t>Washer thk (mm)</t>
        </is>
      </c>
      <c r="I30" s="14" t="inlineStr">
        <is>
          <t>Hardware $/bolt</t>
        </is>
      </c>
      <c r="J30" s="14" t="inlineStr">
        <is>
          <t>Boss size factor</t>
        </is>
      </c>
    </row>
    <row r="31">
      <c r="A31" s="15" t="inlineStr">
        <is>
          <t>M8</t>
        </is>
      </c>
      <c r="B31" s="22" t="n">
        <v>8</v>
      </c>
      <c r="C31" s="22" t="n">
        <v>8.5</v>
      </c>
      <c r="D31" s="22" t="n">
        <v>13</v>
      </c>
      <c r="E31" s="22" t="n">
        <v>21</v>
      </c>
      <c r="F31" s="45" t="n">
        <v>23</v>
      </c>
      <c r="G31" s="22" t="n">
        <v>6.8</v>
      </c>
      <c r="H31" s="22" t="n">
        <v>1.6</v>
      </c>
      <c r="I31" s="30" t="n">
        <v>0.3</v>
      </c>
      <c r="J31" s="26" t="n">
        <v>1</v>
      </c>
    </row>
    <row r="32">
      <c r="A32" s="15" t="inlineStr">
        <is>
          <t>M6</t>
        </is>
      </c>
      <c r="B32" s="22" t="n">
        <v>6</v>
      </c>
      <c r="C32" s="22" t="n">
        <v>6.5</v>
      </c>
      <c r="D32" s="22" t="n">
        <v>10</v>
      </c>
      <c r="E32" s="22" t="n">
        <v>17</v>
      </c>
      <c r="F32" s="45" t="n">
        <v>19</v>
      </c>
      <c r="G32" s="22" t="n">
        <v>5.2</v>
      </c>
      <c r="H32" s="22" t="n">
        <v>1.6</v>
      </c>
      <c r="I32" s="30" t="n">
        <v>0.18</v>
      </c>
      <c r="J32" s="26" t="n">
        <v>0.75</v>
      </c>
    </row>
    <row r="33">
      <c r="A33" s="15" t="inlineStr">
        <is>
          <t>M5</t>
        </is>
      </c>
      <c r="B33" s="22" t="n">
        <v>5</v>
      </c>
      <c r="C33" s="22" t="n">
        <v>5.5</v>
      </c>
      <c r="D33" s="22" t="n">
        <v>8</v>
      </c>
      <c r="E33" s="22" t="n">
        <v>15</v>
      </c>
      <c r="F33" s="45" t="n">
        <v>17</v>
      </c>
      <c r="G33" s="22" t="n">
        <v>4.7</v>
      </c>
      <c r="H33" s="22" t="n">
        <v>1</v>
      </c>
      <c r="I33" s="30" t="n">
        <v>0.14</v>
      </c>
      <c r="J33" s="26" t="n">
        <v>0.6</v>
      </c>
    </row>
    <row r="34">
      <c r="A34" s="2" t="inlineStr">
        <is>
          <t>Socket clearance dia (F) is the OEM value: socket + plastic protector + clearance to the protector. Socket OD (E) and B17 are for reference only. Hardware cost is a placeholder.</t>
        </is>
      </c>
    </row>
    <row r="35">
      <c r="A35" s="3" t="inlineStr">
        <is>
          <t>Bolt retention method</t>
        </is>
      </c>
      <c r="B35" s="4" t="n"/>
      <c r="C35" s="4" t="n"/>
      <c r="D35" s="4" t="n"/>
    </row>
    <row r="36">
      <c r="A36" s="29" t="inlineStr">
        <is>
          <t>Method</t>
        </is>
      </c>
      <c r="B36" s="29" t="inlineStr">
        <is>
          <t>Boss plastic at M8 (mm3)</t>
        </is>
      </c>
      <c r="C36" s="29" t="inlineStr">
        <is>
          <t>Cost per bolt ($)</t>
        </is>
      </c>
      <c r="D36" s="29" t="inlineStr">
        <is>
          <t>Note</t>
        </is>
      </c>
    </row>
    <row r="37">
      <c r="A37" s="15" t="inlineStr">
        <is>
          <t>Over-molded</t>
        </is>
      </c>
      <c r="B37" s="28" t="n">
        <v>2000</v>
      </c>
      <c r="C37" s="30" t="n">
        <v>0.08</v>
      </c>
      <c r="D37" s="2" t="inlineStr">
        <is>
          <t>Bolt loaded into the mold as an insert. All numbers are placeholders.</t>
        </is>
      </c>
    </row>
    <row r="38">
      <c r="A38" s="15" t="inlineStr">
        <is>
          <t>Snap-in from bottom</t>
        </is>
      </c>
      <c r="B38" s="28" t="n">
        <v>3200</v>
      </c>
      <c r="C38" s="30" t="n">
        <v>0.04</v>
      </c>
      <c r="D38" s="2" t="inlineStr">
        <is>
          <t>Bolt pressed into a snap boss from underneath. All numbers are placeholders.</t>
        </is>
      </c>
    </row>
    <row r="39">
      <c r="A39" s="15" t="inlineStr">
        <is>
          <t>Slide-in</t>
        </is>
      </c>
      <c r="B39" s="28" t="n">
        <v>2600</v>
      </c>
      <c r="C39" s="30" t="n">
        <v>0.03</v>
      </c>
      <c r="D39" s="2" t="inlineStr">
        <is>
          <t>Bolt head slides into a captured slot. All numbers are placeholders.</t>
        </is>
      </c>
    </row>
    <row r="41">
      <c r="A41" s="3" t="inlineStr">
        <is>
          <t>Busbar to bolt joining method</t>
        </is>
      </c>
      <c r="B41" s="4" t="n"/>
      <c r="C41" s="4" t="n"/>
      <c r="D41" s="4" t="n"/>
    </row>
    <row r="42">
      <c r="A42" s="29" t="inlineStr">
        <is>
          <t>Method</t>
        </is>
      </c>
      <c r="B42" s="29" t="inlineStr">
        <is>
          <t>Cost per joint ($)</t>
        </is>
      </c>
      <c r="C42" s="29" t="inlineStr">
        <is>
          <t>Note</t>
        </is>
      </c>
    </row>
    <row r="43">
      <c r="A43" s="15" t="inlineStr">
        <is>
          <t>Bolted both sides</t>
        </is>
      </c>
      <c r="B43" s="30" t="n">
        <v>0.1</v>
      </c>
      <c r="C43" s="2" t="inlineStr">
        <is>
          <t>Second nut, washer and torque operation. Placeholder.</t>
        </is>
      </c>
    </row>
    <row r="44">
      <c r="A44" s="15" t="inlineStr">
        <is>
          <t>Clinch</t>
        </is>
      </c>
      <c r="B44" s="30" t="n">
        <v>0.05</v>
      </c>
      <c r="C44" s="2" t="inlineStr">
        <is>
          <t>Clinch press operation. Placeholder.</t>
        </is>
      </c>
    </row>
    <row r="45">
      <c r="A45" s="15" t="inlineStr">
        <is>
          <t>Laser weld</t>
        </is>
      </c>
      <c r="B45" s="30" t="n">
        <v>0.14</v>
      </c>
      <c r="C45" s="2" t="inlineStr">
        <is>
          <t>Weld cycle and fixturing. Placeholder.</t>
        </is>
      </c>
    </row>
    <row r="47">
      <c r="A47" s="3" t="inlineStr">
        <is>
          <t>Cover footprint (cable escape)</t>
        </is>
      </c>
      <c r="B47" s="4" t="n"/>
      <c r="C47" s="4" t="n"/>
      <c r="D47" s="4" t="n"/>
    </row>
    <row r="48">
      <c r="A48" s="5" t="inlineStr">
        <is>
          <t>Fit gap between cover and base</t>
        </is>
      </c>
      <c r="B48" s="22" t="n">
        <v>0.5</v>
      </c>
      <c r="C48" s="5" t="inlineStr">
        <is>
          <t>mm</t>
        </is>
      </c>
      <c r="D48" s="2" t="inlineStr">
        <is>
          <t>Placeholder. Cover overhangs the base by cover thickness plus this gap on every side</t>
        </is>
      </c>
    </row>
    <row r="49">
      <c r="A49" s="5" t="inlineStr">
        <is>
          <t>Cover extension at B+ end, 90 degree eyelet</t>
        </is>
      </c>
      <c r="B49" s="22" t="n">
        <v>20</v>
      </c>
      <c r="C49" s="5" t="inlineStr">
        <is>
          <t>mm</t>
        </is>
      </c>
      <c r="D49" s="2" t="inlineStr">
        <is>
          <t>Placeholder. Extra cover width past the base so the cable can leave. Zero for a battery terminal</t>
        </is>
      </c>
    </row>
    <row r="50">
      <c r="A50" s="5" t="inlineStr">
        <is>
          <t>Cover extension at B+ end, flat eyelet</t>
        </is>
      </c>
      <c r="B50" s="22" t="n">
        <v>35</v>
      </c>
      <c r="C50" s="5" t="inlineStr">
        <is>
          <t>mm</t>
        </is>
      </c>
      <c r="D50" s="2" t="inlineStr">
        <is>
          <t>Placeholder. A flat eyelet cable runs out along the base, so it needs more. Zero for a battery terminal</t>
        </is>
      </c>
    </row>
    <row r="51">
      <c r="A51" s="5" t="inlineStr">
        <is>
          <t>Cover extension at fuse output side</t>
        </is>
      </c>
      <c r="B51" s="22" t="n">
        <v>25</v>
      </c>
      <c r="C51" s="5" t="inlineStr">
        <is>
          <t>mm</t>
        </is>
      </c>
      <c r="D51" s="2" t="inlineStr">
        <is>
          <t>Placeholder. Extra cover length past the base so the wired fuse outputs can leave</t>
        </is>
      </c>
    </row>
    <row r="53">
      <c r="A53" s="3" t="inlineStr">
        <is>
          <t>B+ connection parts (purchased)</t>
        </is>
      </c>
      <c r="B53" s="4" t="n"/>
      <c r="C53" s="4" t="n"/>
      <c r="D53" s="4" t="n"/>
    </row>
    <row r="54">
      <c r="A54" s="5" t="inlineStr">
        <is>
          <t>Battery terminal, purchased</t>
        </is>
      </c>
      <c r="B54" s="30" t="n">
        <v>2.5</v>
      </c>
      <c r="C54" s="5" t="inlineStr">
        <is>
          <t>$ each</t>
        </is>
      </c>
      <c r="D54" s="2" t="inlineStr">
        <is>
          <t>Placeholder. Used when B+ connection is Battery terminal, one per B+ position</t>
        </is>
      </c>
    </row>
    <row r="55">
      <c r="A55" s="5" t="inlineStr">
        <is>
          <t>B+ stud, M8, purchased</t>
        </is>
      </c>
      <c r="B55" s="30" t="n">
        <v>0.45</v>
      </c>
      <c r="C55" s="5" t="inlineStr">
        <is>
          <t>$ each</t>
        </is>
      </c>
      <c r="D55" s="2" t="inlineStr">
        <is>
          <t>Placeholder. Used for the eyelet options, one per B+ position. Edit if you use an M6 or M5 B+ stud</t>
        </is>
      </c>
    </row>
    <row r="57">
      <c r="A57" s="39" t="inlineStr">
        <is>
          <t>Busbar ampacity model (Busbar Sizer sheet)</t>
        </is>
      </c>
      <c r="B57" s="40" t="n"/>
      <c r="C57" s="40" t="n"/>
    </row>
    <row r="58">
      <c r="A58" s="43" t="inlineStr">
        <is>
          <t>Ampacity coefficient k</t>
        </is>
      </c>
      <c r="B58" s="55" t="n">
        <v>5.95</v>
      </c>
      <c r="C58" s="43" t="inlineStr">
        <is>
          <t>A</t>
        </is>
      </c>
      <c r="D58" s="38" t="inlineStr">
        <is>
          <t>Approximate fit to DIN 43671 bare copper ratings (single bar, still air, 35 C ambient). Calibrate to your own test data</t>
        </is>
      </c>
    </row>
    <row r="59">
      <c r="A59" s="43" t="inlineStr">
        <is>
          <t>Area exponent</t>
        </is>
      </c>
      <c r="B59" s="55" t="n">
        <v>0.5</v>
      </c>
      <c r="C59" s="43" t="inlineStr"/>
      <c r="D59" s="38" t="inlineStr">
        <is>
          <t>I = k x A^0.5 x p^0.39 x (rise / reference rise)^0.61</t>
        </is>
      </c>
    </row>
    <row r="60">
      <c r="A60" s="43" t="inlineStr">
        <is>
          <t>Perimeter exponent</t>
        </is>
      </c>
      <c r="B60" s="55" t="n">
        <v>0.39</v>
      </c>
      <c r="C60" s="43" t="inlineStr"/>
      <c r="D60" s="38" t="inlineStr">
        <is>
          <t>Thin, wide bars shed more heat per mm2 of copper</t>
        </is>
      </c>
    </row>
    <row r="61">
      <c r="A61" s="43" t="inlineStr">
        <is>
          <t>Temperature rise exponent</t>
        </is>
      </c>
      <c r="B61" s="55" t="n">
        <v>0.61</v>
      </c>
      <c r="C61" s="43" t="inlineStr"/>
      <c r="D61" s="38" t="inlineStr">
        <is>
          <t>Same exponent IEC 61439-1 uses to scale current with rise</t>
        </is>
      </c>
    </row>
    <row r="62">
      <c r="A62" s="43" t="inlineStr">
        <is>
          <t>Reference temperature rise for k</t>
        </is>
      </c>
      <c r="B62" s="55" t="n">
        <v>30</v>
      </c>
      <c r="C62" s="43" t="inlineStr">
        <is>
          <t>C</t>
        </is>
      </c>
      <c r="D62" s="38" t="inlineStr">
        <is>
          <t>Rise at which k was fitted</t>
        </is>
      </c>
    </row>
    <row r="63">
      <c r="A63" s="43" t="inlineStr">
        <is>
          <t>Enclosure derating factor</t>
        </is>
      </c>
      <c r="B63" s="55" t="n">
        <v>1</v>
      </c>
      <c r="C63" s="43" t="inlineStr">
        <is>
          <t>ratio</t>
        </is>
      </c>
      <c r="D63" s="38" t="inlineStr">
        <is>
          <t>Placeholder. Lower it for a bar inside a closed cover (for example 0.8)</t>
        </is>
      </c>
    </row>
    <row r="65">
      <c r="A65" s="39" t="inlineStr">
        <is>
          <t>Copper blank and scrap</t>
        </is>
      </c>
      <c r="B65" s="40" t="n"/>
      <c r="C65" s="40" t="n"/>
    </row>
    <row r="66">
      <c r="A66" s="43" t="inlineStr">
        <is>
          <t>Copper scrap credit</t>
        </is>
      </c>
      <c r="B66" s="63" t="n">
        <v>0.5</v>
      </c>
      <c r="C66" s="43" t="inlineStr">
        <is>
          <t>fraction</t>
        </is>
      </c>
      <c r="D66" s="38" t="inlineStr">
        <is>
          <t>Placeholder, to be set with manufacturing. Share of the copper price recovered for blank scrap. Plated or mixed scrap usually returns less than clean bare copper</t>
        </is>
      </c>
    </row>
    <row r="68">
      <c r="A68" s="39" t="inlineStr">
        <is>
          <t>Busbar temperature</t>
        </is>
      </c>
      <c r="B68" s="40" t="n"/>
      <c r="C68" s="40" t="n"/>
    </row>
    <row r="69">
      <c r="A69" s="43" t="inlineStr">
        <is>
          <t>Max busbar temperature</t>
        </is>
      </c>
      <c r="B69" s="46" t="n">
        <v>150</v>
      </c>
      <c r="C69" s="43" t="inlineStr">
        <is>
          <t>C</t>
        </is>
      </c>
      <c r="D69" s="38" t="inlineStr">
        <is>
          <t>Placeholder. Set from the plastic, plating and fuse terminal limits</t>
        </is>
      </c>
    </row>
    <row r="70">
      <c r="A70" s="43" t="inlineStr">
        <is>
          <t>Copper resistance temperature coefficient</t>
        </is>
      </c>
      <c r="B70" s="65" t="n">
        <v>0.00393</v>
      </c>
      <c r="C70" s="43" t="inlineStr">
        <is>
          <t>1/C</t>
        </is>
      </c>
      <c r="D70" s="38" t="inlineStr">
        <is>
          <t>Annealed copper</t>
        </is>
      </c>
    </row>
    <row r="71">
      <c r="A71" s="43" t="inlineStr">
        <is>
          <t>Reference ambient for k</t>
        </is>
      </c>
      <c r="B71" s="46" t="n">
        <v>35</v>
      </c>
      <c r="C71" s="43" t="inlineStr">
        <is>
          <t>C</t>
        </is>
      </c>
      <c r="D71" s="38" t="inlineStr">
        <is>
          <t>Ambient of the DIN 43671 ratings k was fitted to</t>
        </is>
      </c>
    </row>
    <row r="72">
      <c r="A72" s="43" t="inlineStr">
        <is>
          <t>Busbar alloy conductivity</t>
        </is>
      </c>
      <c r="B72" s="46" t="n">
        <v>100</v>
      </c>
      <c r="C72" s="43" t="inlineStr">
        <is>
          <t>% IACS</t>
        </is>
      </c>
      <c r="D72" s="38" t="inlineStr">
        <is>
          <t>100 = pure copper (C11000 about 101). Lower for alloys, e.g. CuFe2P (C19400) about 65</t>
        </is>
      </c>
    </row>
    <row r="73">
      <c r="A73" s="43" t="inlineStr">
        <is>
          <t>Rating factor (alloy and max temperature)</t>
        </is>
      </c>
      <c r="B73" s="66">
        <f>SQRT(B72/100*(1+B70*(B71+B62-20))/(1+B70*(B69-20)))</f>
        <v>0.882556860464605</v>
      </c>
      <c r="C73" s="43" t="inlineStr">
        <is>
          <t>ratio</t>
        </is>
      </c>
      <c r="D73" s="38" t="inlineStr">
        <is>
          <t>Calculated. Rating scales with the square root of conductivity, which drops as the bar heats</t>
        </is>
      </c>
    </row>
    <row r="74">
      <c r="A74" s="43" t="inlineStr">
        <is>
          <t>Design current density used for the bus</t>
        </is>
      </c>
      <c r="B74" s="66">
        <f>B14*SQRT(B72/100)</f>
        <v>4</v>
      </c>
      <c r="C74" s="43" t="inlineStr">
        <is>
          <t>A/mm2</t>
        </is>
      </c>
      <c r="D74" s="38" t="inlineStr">
        <is>
          <t>Calculated. B14 is for 100% IACS copper, scaled by the square root of the alloy conductivity</t>
        </is>
      </c>
    </row>
    <row r="76">
      <c r="A76" s="39" t="inlineStr">
        <is>
          <t>Cover isolation at the outputs</t>
        </is>
      </c>
      <c r="B76" s="40" t="n"/>
      <c r="C76" s="40" t="n"/>
    </row>
    <row r="77">
      <c r="A77" s="43" t="inlineStr">
        <is>
          <t>Output-side cover skirt drop</t>
        </is>
      </c>
      <c r="B77" s="45" t="n">
        <v>20</v>
      </c>
      <c r="C77" s="43" t="inlineStr">
        <is>
          <t>mm</t>
        </is>
      </c>
      <c r="D77" s="38" t="inlineStr">
        <is>
          <t>Placeholder. Extra skirt length where the output wires leave, so the cover reaches below the eyelet's conductive area</t>
        </is>
      </c>
    </row>
    <row r="79">
      <c r="A79" s="39" t="inlineStr">
        <is>
          <t>Bus sizing</t>
        </is>
      </c>
      <c r="B79" s="40" t="n"/>
      <c r="C79" s="40" t="n"/>
    </row>
    <row r="80">
      <c r="A80" s="43" t="inlineStr">
        <is>
          <t>Bus sizing method</t>
        </is>
      </c>
      <c r="B80" s="44" t="inlineStr">
        <is>
          <t>Temperature limit</t>
        </is>
      </c>
      <c r="D80" s="38" t="inlineStr">
        <is>
          <t>Temperature limit: the bus reaches the max bus temperature (B69) at the load and ambient. Current density: design A/mm2 (B74). The bolt width is a minimum either way</t>
        </is>
      </c>
    </row>
    <row r="82">
      <c r="A82" s="39" t="inlineStr">
        <is>
          <t>Copper mill stock thicknesses (mm)</t>
        </is>
      </c>
      <c r="B82" s="40" t="n"/>
      <c r="C82" s="40" t="n"/>
    </row>
    <row r="83">
      <c r="A83" s="55" t="n">
        <v>0.8</v>
      </c>
      <c r="B83" s="38" t="inlineStr">
        <is>
          <t>Placeholder list. Edit to match your copper supplier. Blank = unused. Estimator B7 and Busbar Sizer B9 pick from it, and the Busbar Sizer sweeps it.</t>
        </is>
      </c>
    </row>
    <row r="84">
      <c r="A84" s="55" t="n">
        <v>1</v>
      </c>
    </row>
    <row r="85">
      <c r="A85" s="55" t="n">
        <v>1.2</v>
      </c>
    </row>
    <row r="86">
      <c r="A86" s="55" t="n">
        <v>1.5</v>
      </c>
    </row>
    <row r="87">
      <c r="A87" s="55" t="n">
        <v>2</v>
      </c>
    </row>
    <row r="88">
      <c r="A88" s="55" t="n">
        <v>2.5</v>
      </c>
    </row>
    <row r="89">
      <c r="A89" s="55" t="n">
        <v>3</v>
      </c>
    </row>
    <row r="90">
      <c r="A90" s="55" t="n">
        <v>4</v>
      </c>
    </row>
    <row r="91">
      <c r="A91" s="55" t="n">
        <v>5</v>
      </c>
    </row>
    <row r="92">
      <c r="A92" s="55" t="n"/>
    </row>
    <row r="93">
      <c r="A93" s="55" t="n"/>
    </row>
    <row r="94">
      <c r="A94" s="55" t="n"/>
    </row>
  </sheetData>
  <dataValidations count="1">
    <dataValidation sqref="B80" showDropDown="0" showInputMessage="0" showErrorMessage="1" allowBlank="0" type="list">
      <formula1>"Temperature limit,Current density"</formula1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tabSelected="1" zoomScale="85" zoomScaleNormal="85" workbookViewId="0">
      <selection activeCell="A1" sqref="A1"/>
    </sheetView>
  </sheetViews>
  <sheetFormatPr baseColWidth="8" defaultColWidth="8.7109375" defaultRowHeight="15"/>
  <sheetData>
    <row r="1" ht="18" customHeight="1">
      <c r="A1" s="1" t="inlineStr">
        <is>
          <t>Assumption diagram</t>
        </is>
      </c>
    </row>
    <row r="2">
      <c r="A2" s="2" t="inlineStr">
        <is>
          <t>Static pictures drawn with the example values. They do not update when you change a cell. Cell references in the labels point to the Assumptions, Estimator and Fuse Library sheets.</t>
        </is>
      </c>
    </row>
  </sheetData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zoomScaleNormal="100" workbookViewId="0">
      <selection activeCell="A1" sqref="A1"/>
    </sheetView>
  </sheetViews>
  <sheetFormatPr baseColWidth="8" defaultColWidth="8.7109375" defaultRowHeight="15"/>
  <cols>
    <col width="14" customWidth="1" min="1" max="1"/>
    <col width="8" customWidth="1" min="2" max="2"/>
    <col width="14" customWidth="1" min="3" max="5"/>
    <col width="12" customWidth="1" min="6" max="6"/>
    <col width="14" customWidth="1" min="7" max="7"/>
    <col width="44" customWidth="1" min="8" max="9"/>
  </cols>
  <sheetData>
    <row r="1" ht="18" customHeight="1">
      <c r="A1" s="1" t="inlineStr">
        <is>
          <t>Fuse library</t>
        </is>
      </c>
    </row>
    <row r="2">
      <c r="A2" s="2" t="inlineStr">
        <is>
          <t>Dimensions are approximate placeholders. Replace with values from the Littelfuse drawings before relying on the size output.</t>
        </is>
      </c>
    </row>
    <row r="4" ht="30" customHeight="1">
      <c r="A4" s="31" t="inlineStr">
        <is>
          <t>Type</t>
        </is>
      </c>
      <c r="B4" s="31" t="inlineStr">
        <is>
          <t>Bolt</t>
        </is>
      </c>
      <c r="C4" s="31" t="inlineStr">
        <is>
          <t>Amp range (A)</t>
        </is>
      </c>
      <c r="D4" s="31" t="inlineStr">
        <is>
          <t>Hole pitch (mm)</t>
        </is>
      </c>
      <c r="E4" s="31" t="inlineStr">
        <is>
          <t>Body width (mm)</t>
        </is>
      </c>
      <c r="F4" s="31" t="inlineStr">
        <is>
          <t>Tab thk (mm)</t>
        </is>
      </c>
      <c r="G4" s="31" t="inlineStr">
        <is>
          <t>Fuse height (mm)</t>
        </is>
      </c>
      <c r="H4" s="31" t="inlineStr">
        <is>
          <t>Part number family</t>
        </is>
      </c>
      <c r="I4" s="31" t="inlineStr">
        <is>
          <t>Source note</t>
        </is>
      </c>
    </row>
    <row r="5" ht="39.75" customHeight="1">
      <c r="A5" s="15" t="inlineStr">
        <is>
          <t>MEGA (M8)</t>
        </is>
      </c>
      <c r="B5" s="32" t="inlineStr">
        <is>
          <t>M8</t>
        </is>
      </c>
      <c r="C5" s="5" t="inlineStr">
        <is>
          <t>40 to 500</t>
        </is>
      </c>
      <c r="D5" s="22" t="n">
        <v>32</v>
      </c>
      <c r="E5" s="22" t="n">
        <v>27</v>
      </c>
      <c r="F5" s="22" t="n">
        <v>3</v>
      </c>
      <c r="G5" s="22" t="n">
        <v>11</v>
      </c>
      <c r="H5" s="33" t="inlineStr">
        <is>
          <t>MEGA bolt-down fuse, 298 series holder</t>
        </is>
      </c>
      <c r="I5" s="34" t="inlineStr">
        <is>
          <t>Littelfuse lists M8 studs and MEGA fuses from 40 A to 500 A. Specific fuse part numbers not confirmed.</t>
        </is>
      </c>
    </row>
    <row r="6" ht="39.75" customHeight="1">
      <c r="A6" s="15" t="inlineStr">
        <is>
          <t>MIDI (M6)</t>
        </is>
      </c>
      <c r="B6" s="32" t="inlineStr">
        <is>
          <t>M6</t>
        </is>
      </c>
      <c r="C6" s="5" t="inlineStr">
        <is>
          <t>up to 200</t>
        </is>
      </c>
      <c r="D6" s="22" t="n">
        <v>28.5</v>
      </c>
      <c r="E6" s="22" t="n">
        <v>20</v>
      </c>
      <c r="F6" s="22" t="n">
        <v>2</v>
      </c>
      <c r="G6" s="22" t="n">
        <v>9</v>
      </c>
      <c r="H6" s="33" t="inlineStr">
        <is>
          <t>MIDI 498 series, M6 hole version, for example 0498200.MXM6</t>
        </is>
      </c>
      <c r="I6" s="34" t="inlineStr">
        <is>
          <t>Littelfuse lists a 200 A MIDI fuse with M6 holes.</t>
        </is>
      </c>
    </row>
    <row r="7" ht="39.75" customHeight="1">
      <c r="A7" s="15" t="inlineStr">
        <is>
          <t>MIDI (M5)</t>
        </is>
      </c>
      <c r="B7" s="32" t="inlineStr">
        <is>
          <t>M5</t>
        </is>
      </c>
      <c r="C7" s="5" t="inlineStr">
        <is>
          <t>up to 200</t>
        </is>
      </c>
      <c r="D7" s="22" t="n">
        <v>28.5</v>
      </c>
      <c r="E7" s="22" t="n">
        <v>17.5</v>
      </c>
      <c r="F7" s="22" t="n">
        <v>2</v>
      </c>
      <c r="G7" s="22" t="n">
        <v>9</v>
      </c>
      <c r="H7" s="33" t="inlineStr">
        <is>
          <t>MIDI 498 series, standard M5 holes, for example 0498050.MXT and 0498125.MXT</t>
        </is>
      </c>
      <c r="I7" s="34" t="inlineStr">
        <is>
          <t>Littelfuse lists M5 holes at 4.5 Nm torque for these ratings.</t>
        </is>
      </c>
    </row>
    <row r="9">
      <c r="A9" s="2" t="inlineStr">
        <is>
          <t>A fuse with a different hole size needs a different part number. Add a row here and on the Estimator sheet for any new variant.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2026-10-07T19:05:48Z</dcterms:created>
  <dcterms:modified xmlns:dcterms="http://purl.org/dc/terms/" xmlns:xsi="http://www.w3.org/2001/XMLSchema-instance" xsi:type="dcterms:W3CDTF">2026-10-19T19:49:45Z</dcterms:modified>
  <cp:lastModifiedBy>Michael Manor</cp:lastModifiedBy>
  <cp:revision>0</cp:revision>
</cp:coreProperties>
</file>